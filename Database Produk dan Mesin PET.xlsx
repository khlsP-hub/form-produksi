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192.168.100.148\ppic\Departemen PET\Admin PET\"/>
    </mc:Choice>
  </mc:AlternateContent>
  <xr:revisionPtr revIDLastSave="0" documentId="8_{42BAD43E-98B6-4AB8-B3C2-24679BA52DD9}" xr6:coauthVersionLast="47" xr6:coauthVersionMax="47" xr10:uidLastSave="{00000000-0000-0000-0000-000000000000}"/>
  <bookViews>
    <workbookView xWindow="-120" yWindow="-120" windowWidth="20730" windowHeight="11040" activeTab="1" xr2:uid="{E2F955C2-8CDF-4293-B07A-406C6B3191EE}"/>
  </bookViews>
  <sheets>
    <sheet name="Database PF" sheetId="1" r:id="rId1"/>
    <sheet name="Database S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5" i="3" l="1"/>
  <c r="I225" i="3" s="1"/>
  <c r="H224" i="3"/>
  <c r="I224" i="3" s="1"/>
  <c r="H223" i="3"/>
  <c r="I223" i="3" s="1"/>
  <c r="H222" i="3"/>
  <c r="I222" i="3" s="1"/>
  <c r="H221" i="3"/>
  <c r="I221" i="3" s="1"/>
  <c r="H220" i="3"/>
  <c r="I220" i="3" s="1"/>
  <c r="H219" i="3"/>
  <c r="I219" i="3" s="1"/>
  <c r="H218" i="3"/>
  <c r="I218" i="3" s="1"/>
  <c r="H217" i="3"/>
  <c r="I217" i="3" s="1"/>
  <c r="H216" i="3"/>
  <c r="I216" i="3" s="1"/>
  <c r="H215" i="3"/>
  <c r="I215" i="3" s="1"/>
  <c r="H214" i="3"/>
  <c r="I214" i="3" s="1"/>
  <c r="H213" i="3"/>
  <c r="I213" i="3" s="1"/>
  <c r="H211" i="3"/>
  <c r="I211" i="3" s="1"/>
  <c r="H210" i="3"/>
  <c r="I210" i="3" s="1"/>
  <c r="H209" i="3"/>
  <c r="I209" i="3" s="1"/>
  <c r="H208" i="3"/>
  <c r="I208" i="3" s="1"/>
  <c r="H206" i="3"/>
  <c r="I206" i="3" s="1"/>
  <c r="H205" i="3"/>
  <c r="I205" i="3" s="1"/>
  <c r="H204" i="3"/>
  <c r="I204" i="3" s="1"/>
  <c r="H203" i="3"/>
  <c r="I203" i="3" s="1"/>
  <c r="H202" i="3"/>
  <c r="I202" i="3" s="1"/>
  <c r="H201" i="3"/>
  <c r="I201" i="3" s="1"/>
  <c r="H200" i="3"/>
  <c r="I200" i="3" s="1"/>
  <c r="H199" i="3"/>
  <c r="I199" i="3" s="1"/>
  <c r="H198" i="3"/>
  <c r="I198" i="3" s="1"/>
  <c r="H197" i="3"/>
  <c r="I197" i="3" s="1"/>
  <c r="H196" i="3"/>
  <c r="I196" i="3" s="1"/>
  <c r="H195" i="3"/>
  <c r="I195" i="3" s="1"/>
  <c r="H194" i="3"/>
  <c r="I194" i="3" s="1"/>
  <c r="H193" i="3"/>
  <c r="I193" i="3" s="1"/>
  <c r="H192" i="3"/>
  <c r="I192" i="3" s="1"/>
  <c r="H190" i="3"/>
  <c r="I190" i="3" s="1"/>
  <c r="H189" i="3"/>
  <c r="I189" i="3" s="1"/>
  <c r="H188" i="3"/>
  <c r="I188" i="3" s="1"/>
  <c r="H187" i="3"/>
  <c r="I187" i="3" s="1"/>
  <c r="H186" i="3"/>
  <c r="I186" i="3" s="1"/>
  <c r="H185" i="3"/>
  <c r="I185" i="3" s="1"/>
  <c r="H184" i="3"/>
  <c r="I184" i="3" s="1"/>
  <c r="H183" i="3"/>
  <c r="I183" i="3" s="1"/>
  <c r="H182" i="3"/>
  <c r="I182" i="3" s="1"/>
  <c r="H181" i="3"/>
  <c r="I181" i="3" s="1"/>
  <c r="H180" i="3"/>
  <c r="I180" i="3" s="1"/>
  <c r="H179" i="3"/>
  <c r="I179" i="3" s="1"/>
  <c r="H178" i="3"/>
  <c r="I178" i="3" s="1"/>
  <c r="H177" i="3"/>
  <c r="I177" i="3" s="1"/>
  <c r="H176" i="3"/>
  <c r="I176" i="3" s="1"/>
  <c r="H175" i="3"/>
  <c r="I175" i="3" s="1"/>
  <c r="H174" i="3"/>
  <c r="I174" i="3" s="1"/>
  <c r="H173" i="3"/>
  <c r="I173" i="3" s="1"/>
  <c r="H172" i="3"/>
  <c r="I172" i="3" s="1"/>
  <c r="H171" i="3"/>
  <c r="I171" i="3" s="1"/>
  <c r="H170" i="3"/>
  <c r="I170" i="3" s="1"/>
  <c r="H169" i="3"/>
  <c r="I169" i="3" s="1"/>
  <c r="H168" i="3"/>
  <c r="I168" i="3" s="1"/>
  <c r="H167" i="3"/>
  <c r="I167" i="3" s="1"/>
  <c r="H166" i="3"/>
  <c r="I166" i="3" s="1"/>
  <c r="H165" i="3"/>
  <c r="I165" i="3" s="1"/>
  <c r="H164" i="3"/>
  <c r="I164" i="3" s="1"/>
  <c r="H163" i="3"/>
  <c r="I163" i="3" s="1"/>
  <c r="H162" i="3"/>
  <c r="I162" i="3" s="1"/>
  <c r="H161" i="3"/>
  <c r="I161" i="3" s="1"/>
  <c r="H160" i="3"/>
  <c r="I160" i="3" s="1"/>
  <c r="H159" i="3"/>
  <c r="I159" i="3" s="1"/>
  <c r="H158" i="3"/>
  <c r="I158" i="3" s="1"/>
  <c r="H157" i="3"/>
  <c r="I157" i="3" s="1"/>
  <c r="H156" i="3"/>
  <c r="I156" i="3" s="1"/>
  <c r="H155" i="3"/>
  <c r="I155" i="3" s="1"/>
  <c r="H154" i="3"/>
  <c r="I154" i="3" s="1"/>
  <c r="H153" i="3"/>
  <c r="I153" i="3" s="1"/>
  <c r="H152" i="3"/>
  <c r="I152" i="3" s="1"/>
  <c r="H151" i="3"/>
  <c r="I151" i="3" s="1"/>
  <c r="H150" i="3"/>
  <c r="I150" i="3" s="1"/>
  <c r="H149" i="3"/>
  <c r="I149" i="3" s="1"/>
  <c r="H148" i="3"/>
  <c r="I148" i="3" s="1"/>
  <c r="H147" i="3"/>
  <c r="I147" i="3" s="1"/>
  <c r="H146" i="3"/>
  <c r="I146" i="3" s="1"/>
  <c r="H145" i="3"/>
  <c r="I145" i="3" s="1"/>
  <c r="H144" i="3"/>
  <c r="I144" i="3" s="1"/>
  <c r="H143" i="3"/>
  <c r="I143" i="3" s="1"/>
  <c r="H142" i="3"/>
  <c r="I142" i="3" s="1"/>
  <c r="H141" i="3"/>
  <c r="I141" i="3" s="1"/>
  <c r="H140" i="3"/>
  <c r="I140" i="3" s="1"/>
  <c r="H139" i="3"/>
  <c r="I139" i="3" s="1"/>
  <c r="H138" i="3"/>
  <c r="I138" i="3" s="1"/>
  <c r="H137" i="3"/>
  <c r="I137" i="3" s="1"/>
  <c r="H136" i="3"/>
  <c r="I136" i="3" s="1"/>
  <c r="H135" i="3"/>
  <c r="I135" i="3" s="1"/>
  <c r="H134" i="3"/>
  <c r="I134" i="3" s="1"/>
  <c r="H133" i="3"/>
  <c r="I133" i="3" s="1"/>
  <c r="H132" i="3"/>
  <c r="I132" i="3" s="1"/>
  <c r="H131" i="3"/>
  <c r="I131" i="3" s="1"/>
  <c r="H130" i="3"/>
  <c r="I130" i="3" s="1"/>
  <c r="H129" i="3"/>
  <c r="I129" i="3" s="1"/>
  <c r="H128" i="3"/>
  <c r="I128" i="3" s="1"/>
  <c r="H127" i="3"/>
  <c r="I127" i="3" s="1"/>
  <c r="H126" i="3"/>
  <c r="I126" i="3" s="1"/>
  <c r="H125" i="3"/>
  <c r="I125" i="3" s="1"/>
  <c r="H123" i="3"/>
  <c r="I123" i="3" s="1"/>
  <c r="H122" i="3"/>
  <c r="I122" i="3" s="1"/>
  <c r="H121" i="3"/>
  <c r="I121" i="3" s="1"/>
  <c r="H120" i="3"/>
  <c r="I120" i="3" s="1"/>
  <c r="H119" i="3"/>
  <c r="I119" i="3" s="1"/>
  <c r="H118" i="3"/>
  <c r="I118" i="3" s="1"/>
  <c r="H117" i="3"/>
  <c r="I117" i="3" s="1"/>
  <c r="H116" i="3"/>
  <c r="I116" i="3" s="1"/>
  <c r="H115" i="3"/>
  <c r="I115" i="3" s="1"/>
  <c r="H114" i="3"/>
  <c r="I114" i="3" s="1"/>
  <c r="H113" i="3"/>
  <c r="I113" i="3" s="1"/>
  <c r="H112" i="3"/>
  <c r="I112" i="3" s="1"/>
  <c r="H111" i="3"/>
  <c r="I111" i="3" s="1"/>
  <c r="H110" i="3"/>
  <c r="I110" i="3" s="1"/>
  <c r="H109" i="3"/>
  <c r="I109" i="3" s="1"/>
  <c r="H108" i="3"/>
  <c r="I108" i="3" s="1"/>
  <c r="H107" i="3"/>
  <c r="I107" i="3" s="1"/>
  <c r="H106" i="3"/>
  <c r="I106" i="3" s="1"/>
  <c r="H105" i="3"/>
  <c r="I105" i="3" s="1"/>
  <c r="H104" i="3"/>
  <c r="I104" i="3" s="1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H64" i="3"/>
  <c r="I64" i="3" s="1"/>
  <c r="H63" i="3"/>
  <c r="I63" i="3" s="1"/>
  <c r="H62" i="3"/>
  <c r="I62" i="3" s="1"/>
  <c r="H61" i="3"/>
  <c r="I61" i="3" s="1"/>
  <c r="H60" i="3"/>
  <c r="I60" i="3" s="1"/>
  <c r="H59" i="3"/>
  <c r="I59" i="3" s="1"/>
  <c r="H57" i="3"/>
  <c r="I57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I46" i="3"/>
  <c r="H46" i="3"/>
  <c r="H45" i="3"/>
  <c r="I45" i="3" s="1"/>
  <c r="I44" i="3"/>
  <c r="H44" i="3"/>
  <c r="H43" i="3"/>
  <c r="I43" i="3" s="1"/>
  <c r="I42" i="3"/>
  <c r="H42" i="3"/>
  <c r="H41" i="3"/>
  <c r="I41" i="3" s="1"/>
  <c r="I40" i="3"/>
  <c r="H40" i="3"/>
  <c r="H38" i="3"/>
  <c r="I38" i="3" s="1"/>
  <c r="I37" i="3"/>
  <c r="H37" i="3"/>
  <c r="H36" i="3"/>
  <c r="I36" i="3" s="1"/>
  <c r="I35" i="3"/>
  <c r="H35" i="3"/>
  <c r="H34" i="3"/>
  <c r="I34" i="3" s="1"/>
  <c r="I33" i="3"/>
  <c r="H33" i="3"/>
  <c r="H32" i="3"/>
  <c r="I32" i="3" s="1"/>
  <c r="I30" i="3"/>
  <c r="H30" i="3"/>
  <c r="H29" i="3"/>
  <c r="I29" i="3" s="1"/>
  <c r="I28" i="3"/>
  <c r="H28" i="3"/>
  <c r="H27" i="3"/>
  <c r="I27" i="3" s="1"/>
  <c r="I25" i="3"/>
  <c r="H25" i="3"/>
  <c r="H24" i="3"/>
  <c r="I24" i="3" s="1"/>
  <c r="I23" i="3"/>
  <c r="H23" i="3"/>
  <c r="H22" i="3"/>
  <c r="I22" i="3" s="1"/>
  <c r="I21" i="3"/>
  <c r="H21" i="3"/>
  <c r="H20" i="3"/>
  <c r="I20" i="3" s="1"/>
  <c r="I19" i="3"/>
  <c r="H19" i="3"/>
  <c r="H18" i="3"/>
  <c r="I18" i="3" s="1"/>
  <c r="I17" i="3"/>
  <c r="H17" i="3"/>
  <c r="H16" i="3"/>
  <c r="I16" i="3" s="1"/>
  <c r="I15" i="3"/>
  <c r="H15" i="3"/>
  <c r="H14" i="3"/>
  <c r="I14" i="3" s="1"/>
  <c r="I13" i="3"/>
  <c r="H13" i="3"/>
  <c r="H12" i="3"/>
  <c r="I12" i="3" s="1"/>
  <c r="I11" i="3"/>
  <c r="H11" i="3"/>
  <c r="H10" i="3"/>
  <c r="I10" i="3" s="1"/>
  <c r="I9" i="3"/>
  <c r="H9" i="3"/>
  <c r="H8" i="3"/>
  <c r="I8" i="3" s="1"/>
  <c r="I7" i="3"/>
  <c r="H7" i="3"/>
  <c r="H6" i="3"/>
  <c r="I6" i="3" s="1"/>
  <c r="I5" i="3"/>
  <c r="H5" i="3"/>
  <c r="H4" i="3"/>
  <c r="I4" i="3" s="1"/>
  <c r="I3" i="3"/>
  <c r="H3" i="3"/>
  <c r="H2" i="3"/>
  <c r="I2" i="3" s="1"/>
  <c r="H377" i="1"/>
  <c r="I377" i="1" s="1"/>
  <c r="H376" i="1"/>
  <c r="I376" i="1" s="1"/>
  <c r="I375" i="1"/>
  <c r="H375" i="1"/>
  <c r="H374" i="1"/>
  <c r="I374" i="1" s="1"/>
  <c r="H373" i="1"/>
  <c r="I373" i="1" s="1"/>
  <c r="H372" i="1"/>
  <c r="I372" i="1" s="1"/>
  <c r="H371" i="1"/>
  <c r="I371" i="1" s="1"/>
  <c r="H370" i="1"/>
  <c r="I370" i="1" s="1"/>
  <c r="H369" i="1"/>
  <c r="I369" i="1" s="1"/>
  <c r="H368" i="1"/>
  <c r="I368" i="1" s="1"/>
  <c r="H367" i="1"/>
  <c r="I367" i="1" s="1"/>
  <c r="H366" i="1"/>
  <c r="I366" i="1" s="1"/>
  <c r="H365" i="1"/>
  <c r="I365" i="1" s="1"/>
  <c r="H364" i="1"/>
  <c r="I364" i="1" s="1"/>
  <c r="H363" i="1"/>
  <c r="I363" i="1" s="1"/>
  <c r="H362" i="1"/>
  <c r="I362" i="1" s="1"/>
  <c r="H361" i="1"/>
  <c r="I361" i="1" s="1"/>
  <c r="H360" i="1"/>
  <c r="I360" i="1" s="1"/>
  <c r="H359" i="1"/>
  <c r="I359" i="1" s="1"/>
  <c r="H358" i="1"/>
  <c r="I358" i="1" s="1"/>
  <c r="H357" i="1"/>
  <c r="I357" i="1" s="1"/>
  <c r="H356" i="1"/>
  <c r="I356" i="1" s="1"/>
  <c r="H355" i="1"/>
  <c r="I355" i="1" s="1"/>
  <c r="H354" i="1"/>
  <c r="I354" i="1" s="1"/>
  <c r="H353" i="1"/>
  <c r="I353" i="1" s="1"/>
  <c r="H352" i="1"/>
  <c r="I352" i="1" s="1"/>
  <c r="H351" i="1"/>
  <c r="I351" i="1" s="1"/>
  <c r="H350" i="1"/>
  <c r="I350" i="1" s="1"/>
  <c r="H349" i="1"/>
  <c r="I349" i="1" s="1"/>
  <c r="H348" i="1"/>
  <c r="I348" i="1" s="1"/>
  <c r="H347" i="1"/>
  <c r="I347" i="1" s="1"/>
  <c r="H346" i="1"/>
  <c r="I346" i="1" s="1"/>
  <c r="H345" i="1"/>
  <c r="I345" i="1" s="1"/>
  <c r="H344" i="1"/>
  <c r="I344" i="1" s="1"/>
  <c r="H343" i="1"/>
  <c r="I343" i="1" s="1"/>
  <c r="H342" i="1"/>
  <c r="I342" i="1" s="1"/>
  <c r="H341" i="1"/>
  <c r="I341" i="1" s="1"/>
  <c r="H340" i="1"/>
  <c r="I340" i="1" s="1"/>
  <c r="H339" i="1"/>
  <c r="I339" i="1" s="1"/>
  <c r="H338" i="1"/>
  <c r="I338" i="1" s="1"/>
  <c r="H337" i="1"/>
  <c r="I337" i="1" s="1"/>
  <c r="H336" i="1"/>
  <c r="I336" i="1" s="1"/>
  <c r="H335" i="1"/>
  <c r="I335" i="1" s="1"/>
  <c r="H334" i="1"/>
  <c r="I334" i="1" s="1"/>
  <c r="H333" i="1"/>
  <c r="I333" i="1" s="1"/>
  <c r="H332" i="1"/>
  <c r="I332" i="1" s="1"/>
  <c r="H331" i="1"/>
  <c r="I331" i="1" s="1"/>
  <c r="H330" i="1"/>
  <c r="I330" i="1" s="1"/>
  <c r="H329" i="1"/>
  <c r="I329" i="1" s="1"/>
  <c r="H328" i="1"/>
  <c r="I328" i="1" s="1"/>
  <c r="H327" i="1"/>
  <c r="I327" i="1" s="1"/>
  <c r="H326" i="1"/>
  <c r="I326" i="1" s="1"/>
  <c r="H325" i="1"/>
  <c r="I325" i="1" s="1"/>
  <c r="H324" i="1"/>
  <c r="I324" i="1" s="1"/>
  <c r="H323" i="1"/>
  <c r="I323" i="1" s="1"/>
  <c r="H322" i="1"/>
  <c r="I322" i="1" s="1"/>
  <c r="H321" i="1"/>
  <c r="I321" i="1" s="1"/>
  <c r="H320" i="1"/>
  <c r="I320" i="1" s="1"/>
  <c r="H319" i="1"/>
  <c r="I319" i="1" s="1"/>
  <c r="H318" i="1"/>
  <c r="I318" i="1" s="1"/>
  <c r="H317" i="1"/>
  <c r="I317" i="1" s="1"/>
  <c r="H316" i="1"/>
  <c r="I316" i="1" s="1"/>
  <c r="H315" i="1"/>
  <c r="I315" i="1" s="1"/>
  <c r="H314" i="1"/>
  <c r="I314" i="1" s="1"/>
  <c r="H313" i="1"/>
  <c r="I313" i="1" s="1"/>
  <c r="H312" i="1"/>
  <c r="I312" i="1" s="1"/>
  <c r="H311" i="1"/>
  <c r="I311" i="1" s="1"/>
  <c r="H310" i="1"/>
  <c r="I310" i="1" s="1"/>
  <c r="H309" i="1"/>
  <c r="I309" i="1" s="1"/>
  <c r="H308" i="1"/>
  <c r="I308" i="1" s="1"/>
  <c r="H307" i="1"/>
  <c r="I307" i="1" s="1"/>
  <c r="H306" i="1"/>
  <c r="I306" i="1" s="1"/>
  <c r="H305" i="1"/>
  <c r="I305" i="1" s="1"/>
  <c r="H304" i="1"/>
  <c r="I304" i="1" s="1"/>
  <c r="H303" i="1"/>
  <c r="I303" i="1" s="1"/>
  <c r="H302" i="1"/>
  <c r="I302" i="1" s="1"/>
  <c r="H301" i="1"/>
  <c r="I301" i="1" s="1"/>
  <c r="H300" i="1"/>
  <c r="I300" i="1" s="1"/>
  <c r="H299" i="1"/>
  <c r="I299" i="1" s="1"/>
  <c r="H298" i="1"/>
  <c r="I298" i="1" s="1"/>
  <c r="H297" i="1"/>
  <c r="I297" i="1" s="1"/>
  <c r="H296" i="1"/>
  <c r="I296" i="1" s="1"/>
  <c r="H295" i="1"/>
  <c r="I295" i="1" s="1"/>
  <c r="H294" i="1"/>
  <c r="I294" i="1" s="1"/>
  <c r="H293" i="1"/>
  <c r="I293" i="1" s="1"/>
  <c r="H292" i="1"/>
  <c r="I292" i="1" s="1"/>
  <c r="H291" i="1"/>
  <c r="I291" i="1" s="1"/>
  <c r="H290" i="1"/>
  <c r="I290" i="1" s="1"/>
  <c r="H289" i="1"/>
  <c r="I289" i="1" s="1"/>
  <c r="H288" i="1"/>
  <c r="I288" i="1" s="1"/>
  <c r="H287" i="1"/>
  <c r="I287" i="1" s="1"/>
  <c r="H286" i="1"/>
  <c r="I286" i="1" s="1"/>
  <c r="H285" i="1"/>
  <c r="I285" i="1" s="1"/>
  <c r="H284" i="1"/>
  <c r="I284" i="1" s="1"/>
  <c r="H283" i="1"/>
  <c r="I283" i="1" s="1"/>
  <c r="H282" i="1"/>
  <c r="I282" i="1" s="1"/>
  <c r="H281" i="1"/>
  <c r="I281" i="1" s="1"/>
  <c r="H280" i="1"/>
  <c r="I280" i="1" s="1"/>
  <c r="H279" i="1"/>
  <c r="I279" i="1" s="1"/>
  <c r="H278" i="1"/>
  <c r="I278" i="1" s="1"/>
  <c r="H276" i="1"/>
  <c r="I276" i="1" s="1"/>
  <c r="H275" i="1"/>
  <c r="I275" i="1" s="1"/>
  <c r="H274" i="1"/>
  <c r="I274" i="1" s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H258" i="1"/>
  <c r="I258" i="1" s="1"/>
  <c r="H257" i="1"/>
  <c r="I257" i="1" s="1"/>
  <c r="H256" i="1"/>
  <c r="I256" i="1" s="1"/>
  <c r="H255" i="1"/>
  <c r="I255" i="1" s="1"/>
  <c r="H254" i="1"/>
  <c r="I254" i="1" s="1"/>
  <c r="H253" i="1"/>
  <c r="I253" i="1" s="1"/>
  <c r="H252" i="1"/>
  <c r="I252" i="1" s="1"/>
  <c r="H251" i="1"/>
  <c r="I251" i="1" s="1"/>
  <c r="H250" i="1"/>
  <c r="I250" i="1" s="1"/>
  <c r="H249" i="1"/>
  <c r="I249" i="1" s="1"/>
  <c r="H248" i="1"/>
  <c r="I248" i="1" s="1"/>
  <c r="H247" i="1"/>
  <c r="I247" i="1" s="1"/>
  <c r="H246" i="1"/>
  <c r="I246" i="1" s="1"/>
  <c r="H245" i="1"/>
  <c r="I245" i="1" s="1"/>
  <c r="H244" i="1"/>
  <c r="I244" i="1" s="1"/>
  <c r="H243" i="1"/>
  <c r="I243" i="1" s="1"/>
  <c r="H242" i="1"/>
  <c r="I242" i="1" s="1"/>
  <c r="H241" i="1"/>
  <c r="I241" i="1" s="1"/>
  <c r="H240" i="1"/>
  <c r="I240" i="1" s="1"/>
  <c r="H239" i="1"/>
  <c r="I239" i="1" s="1"/>
  <c r="H238" i="1"/>
  <c r="I238" i="1" s="1"/>
  <c r="H237" i="1"/>
  <c r="I237" i="1" s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I219" i="1" s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I205" i="1"/>
  <c r="H205" i="1"/>
  <c r="I204" i="1"/>
  <c r="H204" i="1"/>
  <c r="I203" i="1"/>
  <c r="H203" i="1"/>
  <c r="H202" i="1"/>
  <c r="I202" i="1" s="1"/>
  <c r="I201" i="1"/>
  <c r="H201" i="1"/>
  <c r="H200" i="1"/>
  <c r="I200" i="1" s="1"/>
  <c r="I199" i="1"/>
  <c r="H199" i="1"/>
  <c r="H198" i="1"/>
  <c r="I198" i="1" s="1"/>
  <c r="I197" i="1"/>
  <c r="H197" i="1"/>
  <c r="H196" i="1"/>
  <c r="I196" i="1" s="1"/>
  <c r="I195" i="1"/>
  <c r="H195" i="1"/>
  <c r="H194" i="1"/>
  <c r="I194" i="1" s="1"/>
  <c r="I193" i="1"/>
  <c r="H193" i="1"/>
  <c r="H192" i="1"/>
  <c r="I192" i="1" s="1"/>
  <c r="I191" i="1"/>
  <c r="H191" i="1"/>
  <c r="H190" i="1"/>
  <c r="I190" i="1" s="1"/>
  <c r="I189" i="1"/>
  <c r="H189" i="1"/>
  <c r="H188" i="1"/>
  <c r="I188" i="1" s="1"/>
  <c r="I187" i="1"/>
  <c r="H187" i="1"/>
  <c r="H186" i="1"/>
  <c r="I186" i="1" s="1"/>
  <c r="I185" i="1"/>
  <c r="H185" i="1"/>
  <c r="H184" i="1"/>
  <c r="I184" i="1" s="1"/>
  <c r="I183" i="1"/>
  <c r="H183" i="1"/>
  <c r="H182" i="1"/>
  <c r="I182" i="1" s="1"/>
  <c r="I181" i="1"/>
  <c r="H181" i="1"/>
  <c r="H180" i="1"/>
  <c r="I180" i="1" s="1"/>
  <c r="I179" i="1"/>
  <c r="H179" i="1"/>
  <c r="H178" i="1"/>
  <c r="I178" i="1" s="1"/>
  <c r="I177" i="1"/>
  <c r="H177" i="1"/>
  <c r="H176" i="1"/>
  <c r="I176" i="1" s="1"/>
  <c r="I175" i="1"/>
  <c r="H175" i="1"/>
  <c r="H174" i="1"/>
  <c r="I174" i="1" s="1"/>
  <c r="I173" i="1"/>
  <c r="H173" i="1"/>
  <c r="H172" i="1"/>
  <c r="I172" i="1" s="1"/>
  <c r="I171" i="1"/>
  <c r="H171" i="1"/>
  <c r="H170" i="1"/>
  <c r="I170" i="1" s="1"/>
  <c r="I169" i="1"/>
  <c r="H169" i="1"/>
  <c r="H168" i="1"/>
  <c r="I168" i="1" s="1"/>
  <c r="I167" i="1"/>
  <c r="H167" i="1"/>
  <c r="H166" i="1"/>
  <c r="I166" i="1" s="1"/>
  <c r="I165" i="1"/>
  <c r="H165" i="1"/>
  <c r="H164" i="1"/>
  <c r="I164" i="1" s="1"/>
  <c r="I163" i="1"/>
  <c r="H163" i="1"/>
  <c r="H162" i="1"/>
  <c r="I162" i="1" s="1"/>
  <c r="I161" i="1"/>
  <c r="H161" i="1"/>
  <c r="H160" i="1"/>
  <c r="I160" i="1" s="1"/>
  <c r="I159" i="1"/>
  <c r="H159" i="1"/>
  <c r="H158" i="1"/>
  <c r="I158" i="1" s="1"/>
  <c r="I157" i="1"/>
  <c r="H157" i="1"/>
  <c r="H156" i="1"/>
  <c r="I156" i="1" s="1"/>
  <c r="I155" i="1"/>
  <c r="H155" i="1"/>
  <c r="H154" i="1"/>
  <c r="I154" i="1" s="1"/>
  <c r="I153" i="1"/>
  <c r="H153" i="1"/>
  <c r="H152" i="1"/>
  <c r="I152" i="1" s="1"/>
  <c r="I151" i="1"/>
  <c r="H151" i="1"/>
  <c r="H150" i="1"/>
  <c r="I150" i="1" s="1"/>
  <c r="I149" i="1"/>
  <c r="H149" i="1"/>
  <c r="H148" i="1"/>
  <c r="I148" i="1" s="1"/>
  <c r="I147" i="1"/>
  <c r="H147" i="1"/>
  <c r="H146" i="1"/>
  <c r="I146" i="1" s="1"/>
  <c r="I145" i="1"/>
  <c r="H145" i="1"/>
  <c r="H144" i="1"/>
  <c r="I144" i="1" s="1"/>
  <c r="I143" i="1"/>
  <c r="H143" i="1"/>
  <c r="H142" i="1"/>
  <c r="I142" i="1" s="1"/>
  <c r="I141" i="1"/>
  <c r="H141" i="1"/>
  <c r="H140" i="1"/>
  <c r="I140" i="1" s="1"/>
  <c r="I139" i="1"/>
  <c r="H139" i="1"/>
  <c r="H138" i="1"/>
  <c r="I138" i="1" s="1"/>
  <c r="I137" i="1"/>
  <c r="H137" i="1"/>
  <c r="H136" i="1"/>
  <c r="I136" i="1" s="1"/>
  <c r="I135" i="1"/>
  <c r="H135" i="1"/>
  <c r="H134" i="1"/>
  <c r="I134" i="1" s="1"/>
  <c r="I133" i="1"/>
  <c r="H133" i="1"/>
  <c r="H132" i="1"/>
  <c r="I132" i="1" s="1"/>
  <c r="I131" i="1"/>
  <c r="H131" i="1"/>
  <c r="H130" i="1"/>
  <c r="I130" i="1" s="1"/>
  <c r="I129" i="1"/>
  <c r="H129" i="1"/>
  <c r="H128" i="1"/>
  <c r="I128" i="1" s="1"/>
  <c r="I127" i="1"/>
  <c r="H127" i="1"/>
  <c r="H126" i="1"/>
  <c r="I126" i="1" s="1"/>
  <c r="I125" i="1"/>
  <c r="H125" i="1"/>
  <c r="H124" i="1"/>
  <c r="I124" i="1" s="1"/>
  <c r="I123" i="1"/>
  <c r="H123" i="1"/>
  <c r="H122" i="1"/>
  <c r="I122" i="1" s="1"/>
  <c r="I121" i="1"/>
  <c r="H121" i="1"/>
  <c r="H120" i="1"/>
  <c r="I120" i="1" s="1"/>
  <c r="I119" i="1"/>
  <c r="H119" i="1"/>
  <c r="H118" i="1"/>
  <c r="I118" i="1" s="1"/>
  <c r="I117" i="1"/>
  <c r="H117" i="1"/>
  <c r="H116" i="1"/>
  <c r="I116" i="1" s="1"/>
  <c r="I115" i="1"/>
  <c r="H115" i="1"/>
  <c r="H114" i="1"/>
  <c r="I114" i="1" s="1"/>
  <c r="I113" i="1"/>
  <c r="H113" i="1"/>
  <c r="H112" i="1"/>
  <c r="I112" i="1" s="1"/>
  <c r="I111" i="1"/>
  <c r="H111" i="1"/>
  <c r="H110" i="1"/>
  <c r="I110" i="1" s="1"/>
  <c r="I109" i="1"/>
  <c r="H109" i="1"/>
  <c r="H108" i="1"/>
  <c r="I108" i="1" s="1"/>
  <c r="I107" i="1"/>
  <c r="H107" i="1"/>
  <c r="H106" i="1"/>
  <c r="I106" i="1" s="1"/>
  <c r="I105" i="1"/>
  <c r="H105" i="1"/>
  <c r="H104" i="1"/>
  <c r="I104" i="1" s="1"/>
  <c r="I103" i="1"/>
  <c r="H103" i="1"/>
  <c r="H102" i="1"/>
  <c r="I102" i="1" s="1"/>
  <c r="I101" i="1"/>
  <c r="H101" i="1"/>
  <c r="H100" i="1"/>
  <c r="I100" i="1" s="1"/>
  <c r="I99" i="1"/>
  <c r="H99" i="1"/>
  <c r="H98" i="1"/>
  <c r="I98" i="1" s="1"/>
  <c r="I97" i="1"/>
  <c r="H97" i="1"/>
  <c r="H96" i="1"/>
  <c r="I96" i="1" s="1"/>
  <c r="I95" i="1"/>
  <c r="H95" i="1"/>
  <c r="H94" i="1"/>
  <c r="I94" i="1" s="1"/>
  <c r="I93" i="1"/>
  <c r="H93" i="1"/>
  <c r="H92" i="1"/>
  <c r="I92" i="1" s="1"/>
  <c r="I91" i="1"/>
  <c r="H91" i="1"/>
  <c r="H90" i="1"/>
  <c r="I90" i="1" s="1"/>
  <c r="I89" i="1"/>
  <c r="H89" i="1"/>
  <c r="H88" i="1"/>
  <c r="I88" i="1" s="1"/>
  <c r="I87" i="1"/>
  <c r="H87" i="1"/>
  <c r="H86" i="1"/>
  <c r="I86" i="1" s="1"/>
  <c r="I85" i="1"/>
  <c r="H85" i="1"/>
  <c r="H84" i="1"/>
  <c r="I84" i="1" s="1"/>
  <c r="I83" i="1"/>
  <c r="H83" i="1"/>
  <c r="H82" i="1"/>
  <c r="I82" i="1" s="1"/>
  <c r="I81" i="1"/>
  <c r="H81" i="1"/>
  <c r="H80" i="1"/>
  <c r="I80" i="1" s="1"/>
  <c r="I79" i="1"/>
  <c r="H79" i="1"/>
  <c r="H78" i="1"/>
  <c r="I78" i="1" s="1"/>
  <c r="I77" i="1"/>
  <c r="H77" i="1"/>
  <c r="H76" i="1"/>
  <c r="I76" i="1" s="1"/>
  <c r="I75" i="1"/>
  <c r="H75" i="1"/>
  <c r="H74" i="1"/>
  <c r="I74" i="1" s="1"/>
  <c r="I73" i="1"/>
  <c r="H73" i="1"/>
  <c r="H72" i="1"/>
  <c r="I72" i="1" s="1"/>
  <c r="I71" i="1"/>
  <c r="H71" i="1"/>
  <c r="H70" i="1"/>
  <c r="I70" i="1" s="1"/>
  <c r="I69" i="1"/>
  <c r="H69" i="1"/>
  <c r="H68" i="1"/>
  <c r="I68" i="1" s="1"/>
  <c r="I67" i="1"/>
  <c r="H67" i="1"/>
  <c r="H66" i="1"/>
  <c r="I66" i="1" s="1"/>
  <c r="I65" i="1"/>
  <c r="H65" i="1"/>
  <c r="H64" i="1"/>
  <c r="I64" i="1" s="1"/>
  <c r="I63" i="1"/>
  <c r="H63" i="1"/>
  <c r="H62" i="1"/>
  <c r="I62" i="1" s="1"/>
  <c r="I61" i="1"/>
  <c r="H61" i="1"/>
  <c r="H60" i="1"/>
  <c r="I60" i="1" s="1"/>
  <c r="I59" i="1"/>
  <c r="H59" i="1"/>
  <c r="H58" i="1"/>
  <c r="I58" i="1" s="1"/>
  <c r="I57" i="1"/>
  <c r="H57" i="1"/>
  <c r="H56" i="1"/>
  <c r="I56" i="1" s="1"/>
  <c r="H55" i="1"/>
  <c r="I55" i="1" s="1"/>
  <c r="H54" i="1"/>
  <c r="I54" i="1" s="1"/>
  <c r="I53" i="1"/>
  <c r="H53" i="1"/>
  <c r="H52" i="1"/>
  <c r="I52" i="1" s="1"/>
  <c r="I51" i="1"/>
  <c r="H51" i="1"/>
  <c r="H50" i="1"/>
  <c r="I50" i="1" s="1"/>
  <c r="I49" i="1"/>
  <c r="H49" i="1"/>
  <c r="H48" i="1"/>
  <c r="I48" i="1" s="1"/>
  <c r="I47" i="1"/>
  <c r="H47" i="1"/>
  <c r="H46" i="1"/>
  <c r="I46" i="1" s="1"/>
  <c r="I45" i="1"/>
  <c r="H45" i="1"/>
  <c r="H44" i="1"/>
  <c r="I44" i="1" s="1"/>
  <c r="I43" i="1"/>
  <c r="H43" i="1"/>
  <c r="H42" i="1"/>
  <c r="I42" i="1" s="1"/>
  <c r="I41" i="1"/>
  <c r="H41" i="1"/>
  <c r="H40" i="1"/>
  <c r="I40" i="1" s="1"/>
  <c r="H39" i="1"/>
  <c r="I39" i="1" s="1"/>
  <c r="H38" i="1"/>
  <c r="I38" i="1" s="1"/>
  <c r="I37" i="1"/>
  <c r="H37" i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<sst xmlns="http://schemas.openxmlformats.org/spreadsheetml/2006/main" count="2117" uniqueCount="1347">
  <si>
    <t>KODE
BARANG</t>
  </si>
  <si>
    <t>PRODUK</t>
  </si>
  <si>
    <t>JENIS BAHAN</t>
  </si>
  <si>
    <t>STANDAR PACKING</t>
  </si>
  <si>
    <t>BRT 
PROD</t>
  </si>
  <si>
    <t>CT</t>
  </si>
  <si>
    <t>CAV</t>
  </si>
  <si>
    <t>TARGET HARI</t>
  </si>
  <si>
    <t>TARGET SHIFT</t>
  </si>
  <si>
    <t>VALUE</t>
  </si>
  <si>
    <t>NO MESIN</t>
  </si>
  <si>
    <t>KAPASITAS MESIN</t>
  </si>
  <si>
    <t>MEREK</t>
  </si>
  <si>
    <t>TAHUN</t>
  </si>
  <si>
    <t>NO SERI</t>
  </si>
  <si>
    <t>JENIS MESIN</t>
  </si>
  <si>
    <t>KET</t>
  </si>
  <si>
    <t>WI02510</t>
  </si>
  <si>
    <t>PREFORM BOTOL PET 30 ML SCARLET EMBOSS (PREFORM 60ML BERAT 5.5 GR)</t>
  </si>
  <si>
    <t>PET</t>
  </si>
  <si>
    <t>PF - 01</t>
  </si>
  <si>
    <t>LIGUANG</t>
  </si>
  <si>
    <t>201306V240</t>
  </si>
  <si>
    <t>Non PET</t>
  </si>
  <si>
    <t>DIJUAL</t>
  </si>
  <si>
    <t>WI02774</t>
  </si>
  <si>
    <t>PREFORM BOTOL ADMIRE 240 ML HIJAU</t>
  </si>
  <si>
    <t>PF - 02</t>
  </si>
  <si>
    <t>BORCHE</t>
  </si>
  <si>
    <t xml:space="preserve"> 03/2018</t>
  </si>
  <si>
    <t xml:space="preserve"> 2204Q193</t>
  </si>
  <si>
    <t>Preform</t>
  </si>
  <si>
    <t>WI02779</t>
  </si>
  <si>
    <t>PREFORM BOTOL ADMIRE 240 ML PINK/PERFECT BRIGHT</t>
  </si>
  <si>
    <t>PF - 03</t>
  </si>
  <si>
    <t xml:space="preserve"> 01/2017</t>
  </si>
  <si>
    <t xml:space="preserve"> 1204P087</t>
  </si>
  <si>
    <t>WI02960</t>
  </si>
  <si>
    <t>PREFORM BOTOL PET SCARLET SQUARE 80 ML BIRU</t>
  </si>
  <si>
    <t>PF - 04</t>
  </si>
  <si>
    <t xml:space="preserve"> 1204Q123</t>
  </si>
  <si>
    <t>WI02869</t>
  </si>
  <si>
    <t>PREFORM MINOSEP 60 ML PUTIH</t>
  </si>
  <si>
    <t>PF - 05</t>
  </si>
  <si>
    <t xml:space="preserve"> 06/2020</t>
  </si>
  <si>
    <t xml:space="preserve"> 2205T043</t>
  </si>
  <si>
    <t>WI02294</t>
  </si>
  <si>
    <t>PREFORM BOTOL PET RF 250 ML NATURAL (20 gr)</t>
  </si>
  <si>
    <t>PF - 06</t>
  </si>
  <si>
    <t>HAITIAN</t>
  </si>
  <si>
    <t xml:space="preserve"> 18/06/2020</t>
  </si>
  <si>
    <t>WI02726</t>
  </si>
  <si>
    <t>PREFORM BOTOL PET RF 250 ML AMBER TUA (20 gr)</t>
  </si>
  <si>
    <t>PF - 07</t>
  </si>
  <si>
    <t xml:space="preserve"> 18/11/2021</t>
  </si>
  <si>
    <t>WI02671</t>
  </si>
  <si>
    <t>PREFORM BOTOL PET 100 ML PINK TRANSPARAN B ERL</t>
  </si>
  <si>
    <t>PF - 08</t>
  </si>
  <si>
    <t xml:space="preserve"> 15/11/2021</t>
  </si>
  <si>
    <t>WI02788</t>
  </si>
  <si>
    <t>PREFORM BOTOL PET ADMIRE BIRU TUA KODE B 400 ML</t>
  </si>
  <si>
    <t>PF - 09</t>
  </si>
  <si>
    <t xml:space="preserve"> 09/2021</t>
  </si>
  <si>
    <t xml:space="preserve"> 2204U137</t>
  </si>
  <si>
    <t>WI02898</t>
  </si>
  <si>
    <t>PREFORM BOTOL PET SPRING 300 ML PINK</t>
  </si>
  <si>
    <t>PF - 10</t>
  </si>
  <si>
    <t xml:space="preserve"> 2204U136</t>
  </si>
  <si>
    <t>WI02908</t>
  </si>
  <si>
    <t>PREFORM BOTOL PET SUMMER 300 ML HIJAU</t>
  </si>
  <si>
    <t>PF - 11</t>
  </si>
  <si>
    <t xml:space="preserve"> 01/2021</t>
  </si>
  <si>
    <t xml:space="preserve"> 1206T074</t>
  </si>
  <si>
    <t>WI02970</t>
  </si>
  <si>
    <t>PREFORM BOTOL PET ADMIRE OIL INFUSED 240 ML LIGHT BLUE</t>
  </si>
  <si>
    <t>PF - 12</t>
  </si>
  <si>
    <t xml:space="preserve"> 2204U138</t>
  </si>
  <si>
    <t>WI02792</t>
  </si>
  <si>
    <t>PREFORM BOTOL PET ADMIRE 400 ML PINKTRANS/PERFECTBRIGHT</t>
  </si>
  <si>
    <t>PF - 13</t>
  </si>
  <si>
    <t>WI02793</t>
  </si>
  <si>
    <t>PREFORM BOTOL PET ADMIRE 400 ML HIJAU/NATUREDAILY</t>
  </si>
  <si>
    <t>PF - 14</t>
  </si>
  <si>
    <t xml:space="preserve"> 08/2025</t>
  </si>
  <si>
    <t xml:space="preserve"> 1265Z004</t>
  </si>
  <si>
    <t>WI02383</t>
  </si>
  <si>
    <t>PREFORM BOTOL PET 30 ML NATURAL (5,5gr)</t>
  </si>
  <si>
    <t>PF - 15</t>
  </si>
  <si>
    <t xml:space="preserve"> 1265Z005</t>
  </si>
  <si>
    <t>WI01766</t>
  </si>
  <si>
    <t>PREFORM BOTOL 250 ML SHAMPOO WITH EMBOSS SCARLETT (26 GR)</t>
  </si>
  <si>
    <t>PF - 16</t>
  </si>
  <si>
    <t xml:space="preserve"> 12/2022</t>
  </si>
  <si>
    <t xml:space="preserve"> 2224W020</t>
  </si>
  <si>
    <t>WI02416</t>
  </si>
  <si>
    <t>PREFORM BOTOL PET PUCELLE 115 ML NATURAL</t>
  </si>
  <si>
    <t>PF - 17</t>
  </si>
  <si>
    <t xml:space="preserve"> 12/2018</t>
  </si>
  <si>
    <t xml:space="preserve"> 2204R161</t>
  </si>
  <si>
    <t>WI02868</t>
  </si>
  <si>
    <t>PREFORM MINOSEP 60 ML MERAH</t>
  </si>
  <si>
    <t>SB - 01</t>
  </si>
  <si>
    <t>WATON</t>
  </si>
  <si>
    <t xml:space="preserve"> 05/2013</t>
  </si>
  <si>
    <t xml:space="preserve"> WT - 20130222</t>
  </si>
  <si>
    <t>SB</t>
  </si>
  <si>
    <t>WI02956</t>
  </si>
  <si>
    <t>PREFORM PET BOTOL WATSON 500 ML NATURAL</t>
  </si>
  <si>
    <t>SB - 02</t>
  </si>
  <si>
    <t>AOKTAC</t>
  </si>
  <si>
    <t xml:space="preserve"> 08/2020</t>
  </si>
  <si>
    <t>WI02964</t>
  </si>
  <si>
    <t xml:space="preserve">PREFORM BOTOL PET 60 ML BIRU TRANS </t>
  </si>
  <si>
    <t>SB - 03</t>
  </si>
  <si>
    <t>WI03075</t>
  </si>
  <si>
    <t>PREFORM BOTOL WHITE INC 500 ML OVAL PUTIH W44</t>
  </si>
  <si>
    <t>SB - 04</t>
  </si>
  <si>
    <t>WI02876</t>
  </si>
  <si>
    <t>PREFORM PET BOTOL MINOSEP 200 MERAH</t>
  </si>
  <si>
    <t>SB - 05</t>
  </si>
  <si>
    <t>WI02881</t>
  </si>
  <si>
    <t>PREFORM PET BOTOL MINOSEP 200 PUTIH</t>
  </si>
  <si>
    <t>SB - 06</t>
  </si>
  <si>
    <t>WI02512</t>
  </si>
  <si>
    <t>PREFORM BOTOL PET MAGGI 100 ML NATURAL</t>
  </si>
  <si>
    <t>SB - 07</t>
  </si>
  <si>
    <t>WI02917</t>
  </si>
  <si>
    <t>PREFORM PET BOTOL 125 ML BLANC BIRU TRANS [DANDELION]</t>
  </si>
  <si>
    <t>SB - 08</t>
  </si>
  <si>
    <t>WI02990</t>
  </si>
  <si>
    <t>PREFORM PET BOTOL 125 ML BLANC HIJAU TRANS</t>
  </si>
  <si>
    <t>SB - 09</t>
  </si>
  <si>
    <t xml:space="preserve"> 12/2020</t>
  </si>
  <si>
    <t>WI02632</t>
  </si>
  <si>
    <t>PREFORM BOTOL PET SCARLETT 300 ML POMEGRANTE</t>
  </si>
  <si>
    <t>SB - 10</t>
  </si>
  <si>
    <t xml:space="preserve"> 11/2021</t>
  </si>
  <si>
    <t>WI02634</t>
  </si>
  <si>
    <t xml:space="preserve">PREFORM BOTOL SAS JOLY </t>
  </si>
  <si>
    <t>SB - 11</t>
  </si>
  <si>
    <t xml:space="preserve"> 04/2020</t>
  </si>
  <si>
    <t>WI03039</t>
  </si>
  <si>
    <t>PREFORM BOTOL PET ROUND FLAT 250 ML NATURAL (23 gr)</t>
  </si>
  <si>
    <t>IBM - 01</t>
  </si>
  <si>
    <t>80 H</t>
  </si>
  <si>
    <t>IBM</t>
  </si>
  <si>
    <t xml:space="preserve"> 26/03/2022</t>
  </si>
  <si>
    <t xml:space="preserve"> 220078 - 2</t>
  </si>
  <si>
    <t>WI02343</t>
  </si>
  <si>
    <t>PREFORM BOTOL SCARLETT 300 ML NATURAL NECK 24</t>
  </si>
  <si>
    <t>WI01602</t>
  </si>
  <si>
    <t>PREFORM PX AQUA BIRU</t>
  </si>
  <si>
    <t>BJ03675</t>
  </si>
  <si>
    <t>PREFORM PET 150 MADU TJ NAT</t>
  </si>
  <si>
    <t>WI02918</t>
  </si>
  <si>
    <t>PREFORM BOTOL PET OMG 300  ML</t>
  </si>
  <si>
    <t>WI02708</t>
  </si>
  <si>
    <t>PREFORM BOTOL NPURE 150ml HIJAU</t>
  </si>
  <si>
    <t>WI03043</t>
  </si>
  <si>
    <t>PREFORM BOTOL PET NPURE 80 ML HIJAU (NEW)</t>
  </si>
  <si>
    <t>WI02002</t>
  </si>
  <si>
    <t>PREFORM PET BOTOL BODY SERUM 250 ML</t>
  </si>
  <si>
    <t>WI02490</t>
  </si>
  <si>
    <t>PREFORM PET 100 ML SCARLETT TONER PINK 20 GR</t>
  </si>
  <si>
    <t>WI02509</t>
  </si>
  <si>
    <t>PREFORM PET 100 ML SCARLETT TONER UNGU 20 GR</t>
  </si>
  <si>
    <t>WI02577</t>
  </si>
  <si>
    <t>PREFORM BOTOL LOVILEA PINK</t>
  </si>
  <si>
    <t>WI02677</t>
  </si>
  <si>
    <t>PREFORM BOTOL PET 100 ML AMBER</t>
  </si>
  <si>
    <t>WI02966</t>
  </si>
  <si>
    <t>PREFORM BOTOL PET FEMALE 100 BIRU</t>
  </si>
  <si>
    <t>WI02961</t>
  </si>
  <si>
    <t>PREFORM BOTOL PET CAPSUL HIJAU 60 ML</t>
  </si>
  <si>
    <t>WI02675</t>
  </si>
  <si>
    <t>PREFORM BOTOL PET 100 ML HIJAU TRANS</t>
  </si>
  <si>
    <t>WI02702</t>
  </si>
  <si>
    <t>PREFORM BOTOL PET 250 ML PINK TRANS SAKURA</t>
  </si>
  <si>
    <t>WI02736</t>
  </si>
  <si>
    <t>PREFORM BOTOL PET 500 ML NATURAL</t>
  </si>
  <si>
    <t>WI01318</t>
  </si>
  <si>
    <t>PREFORM BOTOL PET 60ml PUTIH (7,5gr)</t>
  </si>
  <si>
    <t>WI01778</t>
  </si>
  <si>
    <t>PREFORM BOTOL PET 250 ML PINK TRANS  (ROUND) (23.75 GR)</t>
  </si>
  <si>
    <t>WI02744</t>
  </si>
  <si>
    <t>PREFORM BOTOL PET 30 ML NATURAL (7 gr) PVC 30</t>
  </si>
  <si>
    <t>WI00979</t>
  </si>
  <si>
    <t>PET PREFORM 500 ML PET PUTIH</t>
  </si>
  <si>
    <t>WI02473</t>
  </si>
  <si>
    <t>PREFORM MADU 150 HITAM</t>
  </si>
  <si>
    <t>WI02395</t>
  </si>
  <si>
    <t>PREFORM Botol hand Wash Biodef. PET. Natural (23.75 gr)</t>
  </si>
  <si>
    <t>BJ04840</t>
  </si>
  <si>
    <t>PREFORM PX AQUA NATURAL</t>
  </si>
  <si>
    <t>BJ05492</t>
  </si>
  <si>
    <t>PREFORM PX AQUA VIOLET</t>
  </si>
  <si>
    <t>WI02790</t>
  </si>
  <si>
    <t>PREFORM LUCIDO ORANGE</t>
  </si>
  <si>
    <t>BJ05595</t>
  </si>
  <si>
    <t>Preform BOTOL GATSBY Prime Body Perfume Spray 100ml BIRU</t>
  </si>
  <si>
    <t>BJ05591</t>
  </si>
  <si>
    <t>Preform BOTOL GATSBY Prime Body Perfume Spray 100ml KUNING</t>
  </si>
  <si>
    <t>WI02098</t>
  </si>
  <si>
    <t>PREFORM PET 150 MADU TJ AMBER</t>
  </si>
  <si>
    <t>WI02496</t>
  </si>
  <si>
    <t>PREFORM BOTOL PET 250 ML BIRU</t>
  </si>
  <si>
    <t>WI03073</t>
  </si>
  <si>
    <t>PREFORM BOTOL PET OMG 75 ML FRESH PINK TRANS</t>
  </si>
  <si>
    <t>WI03071</t>
  </si>
  <si>
    <t xml:space="preserve">PREFORM BOTOL PET OMG 75 ML HIJAU TRANS SPLASH </t>
  </si>
  <si>
    <t>BJ05997</t>
  </si>
  <si>
    <t>PREFORM BOTOL MADU 250 ML NATURAL</t>
  </si>
  <si>
    <t>WI01799</t>
  </si>
  <si>
    <t>PREFORM BOTOL PET 250 ML NATURAL (ROUND) (23.75 GR)</t>
  </si>
  <si>
    <t>WI02436</t>
  </si>
  <si>
    <t>PREFORM BOTOL PET 250 ML PUTIH (ROUND) (23.75 GR)</t>
  </si>
  <si>
    <t>WI02320</t>
  </si>
  <si>
    <t>PREFORM BOTOL PET RF 250 ML HITAM (20 gr)</t>
  </si>
  <si>
    <t>BJ05593</t>
  </si>
  <si>
    <t>Preform BOTOL GATSBY Prime Body Perfume Spray 100ml ABU-ABU</t>
  </si>
  <si>
    <t>WI03034</t>
  </si>
  <si>
    <t>PREFORM BOTOL PET CAPSULE KALON PUTIH 60 ML</t>
  </si>
  <si>
    <t>WI02886</t>
  </si>
  <si>
    <t>PREFORM BOTOL PET 250 ML PUTIH GV (ROUND) (23.75 GR)</t>
  </si>
  <si>
    <t>WI02778</t>
  </si>
  <si>
    <t>PREFORM BOTOL ADMIRE 240 ML BIRU KODE A</t>
  </si>
  <si>
    <t>WI02674</t>
  </si>
  <si>
    <t>PREFORM BOTOL PET RF 250 ML HIJAU TRANS (20 gr)</t>
  </si>
  <si>
    <t>WI02676</t>
  </si>
  <si>
    <t>PREFORM BOTOL PET RF 250 ML AMBER (20 gr)</t>
  </si>
  <si>
    <t>WI02648</t>
  </si>
  <si>
    <t>PREFORM BOTOL PET 250 ML PINK ROSE GLORIA</t>
  </si>
  <si>
    <t>WI02004</t>
  </si>
  <si>
    <t xml:space="preserve">PREFORM BOTOL PET 100ml PUTIH </t>
  </si>
  <si>
    <t>PREFORM BOTOL PET 100ml BIRU</t>
  </si>
  <si>
    <t>WI02750</t>
  </si>
  <si>
    <t>PREFORM BOTOL PET SCARLETT 300 ML MERAH</t>
  </si>
  <si>
    <t>WI02645</t>
  </si>
  <si>
    <t>PREFORM BOTOL PET 100 ML HIJAU</t>
  </si>
  <si>
    <t>BJ04724</t>
  </si>
  <si>
    <t>Preform BTL PX Aqua 60ml BIRU</t>
  </si>
  <si>
    <t>WI02399</t>
  </si>
  <si>
    <t>PREFORM BOTOL MADU 250 ML AMBER</t>
  </si>
  <si>
    <t>WI02351</t>
  </si>
  <si>
    <t>PREFORM BOTOL PET 60ml AMBER (7,5gr)</t>
  </si>
  <si>
    <t>WI02880</t>
  </si>
  <si>
    <t>PREFORM BOTOL PET 60 ML PINK SOLID</t>
  </si>
  <si>
    <t>WI02523</t>
  </si>
  <si>
    <t>PREFORM BOTOL PET ROUND 250 ML AMBER TUA</t>
  </si>
  <si>
    <t>WI02678</t>
  </si>
  <si>
    <t>PREFORM BOTOL PET 100 ML COKLATBURGUNDY</t>
  </si>
  <si>
    <t>WI02847</t>
  </si>
  <si>
    <t>PREFORM BOTOL SAOS SRINAGA 275ml</t>
  </si>
  <si>
    <t>WI02507</t>
  </si>
  <si>
    <t>PREFORM BOTOL PET BODY WASH ORANGE [YUZU BIODEF]</t>
  </si>
  <si>
    <t>WI02010</t>
  </si>
  <si>
    <t>PREFORM Botol BLANC 125 ML BIRU TRANSP</t>
  </si>
  <si>
    <t>WI03022</t>
  </si>
  <si>
    <t>PREFORM BOTOL WHITE INC 500 ML OVAL PUTIH</t>
  </si>
  <si>
    <t>WI02777</t>
  </si>
  <si>
    <t>PREFORM BOTOL ADMIRE 240 ML BIRU TUA KODE B/ACNEDERM</t>
  </si>
  <si>
    <t>WI02543</t>
  </si>
  <si>
    <t>PREFORM BOTOL PET 250 ML PINK TRANS (ROUND) 23 gr</t>
  </si>
  <si>
    <t>WI02396</t>
  </si>
  <si>
    <t xml:space="preserve">PREFORM BOTOL PET 250 ML HITAM (ROUND) </t>
  </si>
  <si>
    <t>WI02404</t>
  </si>
  <si>
    <t>PREFORM BOTOL PET 250 ML AMBER (ROUND) 23 gr</t>
  </si>
  <si>
    <t>WI02703</t>
  </si>
  <si>
    <t>PREFORM BOTOL PET 250 ML PINK (ROUND) (23.75 GR)</t>
  </si>
  <si>
    <t>WI02615</t>
  </si>
  <si>
    <t>PREFORM BOTOL PET 250 ML KUNING YUZU</t>
  </si>
  <si>
    <t>WI02478</t>
  </si>
  <si>
    <t>PREFORM BOTOL PET 250 ML NATURAL [CS EXFOLIATING 125]</t>
  </si>
  <si>
    <t>WI02355</t>
  </si>
  <si>
    <t>PREFORM BOTOL PET 250 ML ORANGE TRANS GLORIA</t>
  </si>
  <si>
    <t>WI02760</t>
  </si>
  <si>
    <t>PREFORM BOTOL SOLACE HIJAU</t>
  </si>
  <si>
    <t>WI02849</t>
  </si>
  <si>
    <t>PREFORM BOTOL PET NPURE 150 ML ORANGE TRANS</t>
  </si>
  <si>
    <t>WI02241</t>
  </si>
  <si>
    <t>PREFORM BOTOL PET 550 ML BIODEF GREEN</t>
  </si>
  <si>
    <t>WI03030</t>
  </si>
  <si>
    <t>PREFORM BOTOL PET LUCIDO 50ML PINK</t>
  </si>
  <si>
    <t>WI03031</t>
  </si>
  <si>
    <t>PREFORM BOTOL PET LUCIDO 50ML KUNING</t>
  </si>
  <si>
    <t>WI03032</t>
  </si>
  <si>
    <t>PREFORM BOTOL PET LUCIDO 50ML ORANGE</t>
  </si>
  <si>
    <t>BJ06022</t>
  </si>
  <si>
    <t>PREFORM PX AQUA BIRU (8,5 gr)</t>
  </si>
  <si>
    <t>WI02549</t>
  </si>
  <si>
    <t>PREFORM PX AQUA UNGU (8,5 gr)</t>
  </si>
  <si>
    <t>WI02972</t>
  </si>
  <si>
    <t xml:space="preserve">PREFORM BOTOL PET 250  ABU -ABU </t>
  </si>
  <si>
    <t>WI02832</t>
  </si>
  <si>
    <t>PREFORM POT LULUR 250 ml UNGU POLOS</t>
  </si>
  <si>
    <t>WI03005</t>
  </si>
  <si>
    <t>PREFORM BOTOL PET 100 ML BODY MIST ORANGE</t>
  </si>
  <si>
    <t>WI02921</t>
  </si>
  <si>
    <t>PREFORM BOTOL PET 500 ML AMBER TUA</t>
  </si>
  <si>
    <t>WI02302</t>
  </si>
  <si>
    <t>PREFORM BOTOL PET RF 250 ML PUTIH (20 gr)</t>
  </si>
  <si>
    <t>WI02890</t>
  </si>
  <si>
    <t>PREFORM BOTOL PET SCARLETT 300 ML CHERRYLICIOUS/MERAH</t>
  </si>
  <si>
    <t>WI02272</t>
  </si>
  <si>
    <t>Preform Pet Botol Body Cream 300 ml</t>
  </si>
  <si>
    <t>WI02633</t>
  </si>
  <si>
    <t>PREFORM BOTOL PET SAS 300 UNGU TUA/CHARMING</t>
  </si>
  <si>
    <t>WI02684</t>
  </si>
  <si>
    <t>PREFORM BOTOL PET 100 ROUND TINGGI NATURAL</t>
  </si>
  <si>
    <t>WI02006</t>
  </si>
  <si>
    <t>PREFORM BOTOL PET 100 ML NATURAL</t>
  </si>
  <si>
    <t>WI01505</t>
  </si>
  <si>
    <t>PREFORM BOTOL PET 100 ROUND FLAT-NATURAL</t>
  </si>
  <si>
    <t>WI02445</t>
  </si>
  <si>
    <t>PREFORM BOTOL PET 100 ML HITAM</t>
  </si>
  <si>
    <t>WI02843</t>
  </si>
  <si>
    <t>PREFORM PET BOTOL WATSON 1000 ML NATURAL</t>
  </si>
  <si>
    <t>WI02533</t>
  </si>
  <si>
    <t>PREFORM BOTOL SCARLETT 300 ML PINK</t>
  </si>
  <si>
    <t>WI01319</t>
  </si>
  <si>
    <t>PREFORM BOTOL PET 60ml NATURAL (7,5gr)</t>
  </si>
  <si>
    <t>WI02504</t>
  </si>
  <si>
    <t>PREFORM BOTOL PET BODY WASH HIJAU [GREEN TEA BIODEF]</t>
  </si>
  <si>
    <t>WI02835</t>
  </si>
  <si>
    <t>PREFORM BOTOL PET BODY WASH 500 ML PINK</t>
  </si>
  <si>
    <t>WI02506</t>
  </si>
  <si>
    <t>PREFORM BOTOL PET BODY WASH BIRU [SEA SALT BIODEF]</t>
  </si>
  <si>
    <t>WI00932</t>
  </si>
  <si>
    <t>PREFORM BOTOL PET 250 ML KUNING</t>
  </si>
  <si>
    <t>WI02863</t>
  </si>
  <si>
    <t>PREFORM ANTIS PEARLIZE 60 ML</t>
  </si>
  <si>
    <t>WI02759</t>
  </si>
  <si>
    <t>PREFORM BOTOL SOLACE ORANGE</t>
  </si>
  <si>
    <t>WI01621</t>
  </si>
  <si>
    <t>PREFORM BOTOL PET 100 ML BIRU TRANS KAHF</t>
  </si>
  <si>
    <t>WI02888</t>
  </si>
  <si>
    <t>PREFORM BOTOL PET 100 ML PINK SOLID</t>
  </si>
  <si>
    <t>WI02001</t>
  </si>
  <si>
    <t>PREFORM BOTOL SCARLETT 100 ML NATURAL</t>
  </si>
  <si>
    <t>WI02896</t>
  </si>
  <si>
    <t>PREFORM BOTOL PET SPRING 125 ML PINK</t>
  </si>
  <si>
    <t>WI02906</t>
  </si>
  <si>
    <t>PREFORM BOTOL PET SUMMER 125 ML HIJAU</t>
  </si>
  <si>
    <t>WI02464</t>
  </si>
  <si>
    <t>PREFORM BOTOL PET 100 ML PUTIH</t>
  </si>
  <si>
    <t>WI02846</t>
  </si>
  <si>
    <t>PREFORM BOTOL PET NATURAL MINI EARTH 60 ml</t>
  </si>
  <si>
    <t>WI02637</t>
  </si>
  <si>
    <t>PREFORM BOTOL NPURE 30ML HIJAU</t>
  </si>
  <si>
    <t>WI02585</t>
  </si>
  <si>
    <t>PREFORM BOTOL PET BBL 75 ML HIJAU TRANS</t>
  </si>
  <si>
    <t>WI02521</t>
  </si>
  <si>
    <t>PREFORM BOTOL PET SDM PUTIH 250 ML [23.5 GR]</t>
  </si>
  <si>
    <t>WI02883</t>
  </si>
  <si>
    <t>PREFORM PET BOTOL ROUND FLAT 250 PINK</t>
  </si>
  <si>
    <t>WI01904</t>
  </si>
  <si>
    <t>PREFORM BOTOL PET 100 ML PINK TRANSPARAN</t>
  </si>
  <si>
    <t>WI02965</t>
  </si>
  <si>
    <t xml:space="preserve">PREFORM BOTOL PET 60 ML PINK TRANS </t>
  </si>
  <si>
    <t>WI03001</t>
  </si>
  <si>
    <t xml:space="preserve">PREFORM BOTOL PET 60 ML UNGU TRANS </t>
  </si>
  <si>
    <t>WI03004</t>
  </si>
  <si>
    <t>PREFORM BOTOL PET 100 ML BODY MIST PINK</t>
  </si>
  <si>
    <t>WI03006</t>
  </si>
  <si>
    <t>PREFORM BOTOL PET 100 ML BODY MIST UNGU/VIOLET</t>
  </si>
  <si>
    <t>WI02987</t>
  </si>
  <si>
    <t>PREFORM BOTOL PET CAPSUL PUTIH 60 ML</t>
  </si>
  <si>
    <t>WI03058</t>
  </si>
  <si>
    <t>PREFORM BOTOL SQUARE 200 NAT</t>
  </si>
  <si>
    <t>WI03055</t>
  </si>
  <si>
    <t>PREFORM BOTOL PET OSTARA 150 ML</t>
  </si>
  <si>
    <t>WI03070</t>
  </si>
  <si>
    <t xml:space="preserve">PREFORM BOTOL SQUARE 200 UNGU TRANS </t>
  </si>
  <si>
    <t>WI03033</t>
  </si>
  <si>
    <t>PREFORM BOTOL WHITE INC PINK 400 ML KOTAK</t>
  </si>
  <si>
    <t>WI02310</t>
  </si>
  <si>
    <t>PREFORM BOTOL DERMYTHOL BODY WASH 480ML AMBER</t>
  </si>
  <si>
    <t>WI02086</t>
  </si>
  <si>
    <t>PREFORM BOTOL PET 100 ROUND PINK SOLID (CRESSINDO)</t>
  </si>
  <si>
    <t>WI02860</t>
  </si>
  <si>
    <t>PREFORM POT LULUR 250 ML MERAH POLOS</t>
  </si>
  <si>
    <t>WI02385</t>
  </si>
  <si>
    <t>PREFORM BOTOL PET 100 RF-AMBER TUA</t>
  </si>
  <si>
    <t>WI02984</t>
  </si>
  <si>
    <t>PREFORM BOTOL PET 100 RF-UNGU SOLID</t>
  </si>
  <si>
    <t>WI02983</t>
  </si>
  <si>
    <t>PREFORM BOTOL PET 100 RF-PINK SOLID</t>
  </si>
  <si>
    <t>WI02996</t>
  </si>
  <si>
    <t>PREFORM POT LULUR 250 ML HIJAU TOSCA</t>
  </si>
  <si>
    <t>WI02739</t>
  </si>
  <si>
    <t>PREFORM POT LULUR 250 ML PUTIH</t>
  </si>
  <si>
    <t>WI03023</t>
  </si>
  <si>
    <t>PREFORM POT LULUR NATURAL</t>
  </si>
  <si>
    <t>WI02748</t>
  </si>
  <si>
    <t>PREFORM POT LULUR 250 ml SQUARE PUTIH</t>
  </si>
  <si>
    <t>WI02427</t>
  </si>
  <si>
    <t>PREFORM POT LULUR SCARLETT 250 ML PUTIH</t>
  </si>
  <si>
    <t>WI02803</t>
  </si>
  <si>
    <t>PREFORM POT LULUR 250 ML HITAM</t>
  </si>
  <si>
    <t>WI02989</t>
  </si>
  <si>
    <t xml:space="preserve">PREFORM BOTOL PET 100 HITAM TRANS </t>
  </si>
  <si>
    <t>WI02851</t>
  </si>
  <si>
    <t>PREFORM BOTOL PET 100 ML KUNING TRANSPARAN</t>
  </si>
  <si>
    <t>WI02856</t>
  </si>
  <si>
    <t>PREFORM BOTOL PET ADMIRE PINK 100 ML</t>
  </si>
  <si>
    <t>WI02838</t>
  </si>
  <si>
    <t>PREFORM BOTOL PET 100 ML PINK SOLID PEARL</t>
  </si>
  <si>
    <t>WI02834</t>
  </si>
  <si>
    <t>PREFORM BOTOL PET 100 ML BIRU FLAT</t>
  </si>
  <si>
    <t>WI02263</t>
  </si>
  <si>
    <t>PREFORM PET 100 ML SCARLET ORANGE TRANS 21g</t>
  </si>
  <si>
    <t>WI02745</t>
  </si>
  <si>
    <t>PREFORM POT LULUR 250 ml SQUARE HITAM</t>
  </si>
  <si>
    <t>WI02952</t>
  </si>
  <si>
    <t>PREFORM BOTOL PET 100 ML KUNING YUZU</t>
  </si>
  <si>
    <t>WI02954</t>
  </si>
  <si>
    <t>PREFORM BOTOL PET 100 ML PINK ROSE</t>
  </si>
  <si>
    <t>WI02821</t>
  </si>
  <si>
    <t>PREFORM BOTOL PET 100 ML PINK TRANS SAKURA</t>
  </si>
  <si>
    <t>WI02950</t>
  </si>
  <si>
    <t>PREFORM BOTOL PET 100 ML TINGGI ORANGE</t>
  </si>
  <si>
    <t>WI01767</t>
  </si>
  <si>
    <t>PREFORM BOTOL PET ROUND 100 UNGU</t>
  </si>
  <si>
    <t>WI02480</t>
  </si>
  <si>
    <t>PREFORM POT LULUR SCARLET AMBER</t>
  </si>
  <si>
    <t>WI02719</t>
  </si>
  <si>
    <t>PREFORM POT LULUR VIOLET BURGUNDY</t>
  </si>
  <si>
    <t>WI03063</t>
  </si>
  <si>
    <t>PREFORM POT LULUR UNGU SOLID</t>
  </si>
  <si>
    <t>WI03064</t>
  </si>
  <si>
    <t>PREFORM POT LULUR UNGU TRANS</t>
  </si>
  <si>
    <t>WI03065</t>
  </si>
  <si>
    <t>PREFORM POT LULUR 250 ML PEACH SOLID</t>
  </si>
  <si>
    <t>WI03066</t>
  </si>
  <si>
    <t>PREFORM POT LULUR 250 ML KUNING</t>
  </si>
  <si>
    <t>WI02698</t>
  </si>
  <si>
    <t>PREFORM BOTOL PET 100ml PNIK SOFT</t>
  </si>
  <si>
    <t>WI02749</t>
  </si>
  <si>
    <t>PREFORM BOTOL PET 500 ML PUTIH</t>
  </si>
  <si>
    <t>WI02763</t>
  </si>
  <si>
    <t>PREFORM BOTOL PET 500 ML HITAM</t>
  </si>
  <si>
    <t>WI02925</t>
  </si>
  <si>
    <t>PREFORM POT LULUR 250 ml SQUARE PINK</t>
  </si>
  <si>
    <t>BJ05599</t>
  </si>
  <si>
    <t>Preform BOTOL GATSBY Prime Body Perfume Spray 100ml MERAH</t>
  </si>
  <si>
    <t>WI02798</t>
  </si>
  <si>
    <t>PREFORM POT LULUR 250 ml BIRU</t>
  </si>
  <si>
    <t>WI02392</t>
  </si>
  <si>
    <t>CAP LULUR 50 ML GOLD TUA (ROUND)</t>
  </si>
  <si>
    <t>PP</t>
  </si>
  <si>
    <t>WI01164</t>
  </si>
  <si>
    <t>CAP LULUR 50 GR HITAM (ROUND)</t>
  </si>
  <si>
    <t>WI01195</t>
  </si>
  <si>
    <t>CAP LULUR 50 GR NATURAL (ROUND)</t>
  </si>
  <si>
    <t>WI01163</t>
  </si>
  <si>
    <t>CAP LULUR 50 GR PUTIH (ROUND)</t>
  </si>
  <si>
    <t>WI03048</t>
  </si>
  <si>
    <t>CAP LULUR 50 GR BIRU DONGKER (ROUND)</t>
  </si>
  <si>
    <t>WI01162</t>
  </si>
  <si>
    <t>CAP LULUR 50 GR PINK (ROUND)</t>
  </si>
  <si>
    <t>BJ05004</t>
  </si>
  <si>
    <t>2G00145 CAP LM 100 MUTIARA</t>
  </si>
  <si>
    <t>WI00680</t>
  </si>
  <si>
    <t xml:space="preserve">PP CAP JAR ABU-ABU </t>
  </si>
  <si>
    <t>WI01246</t>
  </si>
  <si>
    <t>PP CAP JAR BIRU TELOR ASIN</t>
  </si>
  <si>
    <t>WI01821</t>
  </si>
  <si>
    <t>CAP MKZ 500 GR HITAM POLOS</t>
  </si>
  <si>
    <t>WI01091</t>
  </si>
  <si>
    <t>PP CAP 500 GR MPC SILVER POLOS</t>
  </si>
  <si>
    <t>BJ06485</t>
  </si>
  <si>
    <t>M2P2PA42RA2 C.YBO(2)- YTZ5S-TP4</t>
  </si>
  <si>
    <t>PP YUASA</t>
  </si>
  <si>
    <t>WI00811</t>
  </si>
  <si>
    <t>CONTAINER YT SERIES YTZ5S</t>
  </si>
  <si>
    <t>BJ02778</t>
  </si>
  <si>
    <t>51180210 CAP PP CHOCOLATE SQUARE 500 GR</t>
  </si>
  <si>
    <t>BJ03117</t>
  </si>
  <si>
    <t>51180060 Cap PP Blue Square 500 GR</t>
  </si>
  <si>
    <t>WI00667</t>
  </si>
  <si>
    <t>PP POT JAR 15 GR PUTIH GV NEW</t>
  </si>
  <si>
    <t>WI00834</t>
  </si>
  <si>
    <t>Tutup Botol SHZ B.Lotion UME 210 ml</t>
  </si>
  <si>
    <t>WI02566</t>
  </si>
  <si>
    <t>PP CAP BLESSING HITAM 1000 GR</t>
  </si>
  <si>
    <t>WI01011</t>
  </si>
  <si>
    <t>PP CAP BLESSING HIJAU 1000 GR</t>
  </si>
  <si>
    <t>BJ06004</t>
  </si>
  <si>
    <t>PP CAP MAKARIZO 1000GR PEARLIZE</t>
  </si>
  <si>
    <t>WI00735</t>
  </si>
  <si>
    <t>PP CAP JAR MERAH BATA</t>
  </si>
  <si>
    <t>WI00020</t>
  </si>
  <si>
    <t>PP CAP JAR HIJAU MELON</t>
  </si>
  <si>
    <t>WI00039</t>
  </si>
  <si>
    <t>PP CAP JAR PUTIH GV BP HAYEDI</t>
  </si>
  <si>
    <t>BJ03132</t>
  </si>
  <si>
    <t>51180240 Cap PP Yellow Square 500 gr</t>
  </si>
  <si>
    <t>WI00069</t>
  </si>
  <si>
    <t>PP CAP JAR UNGU "SAM MARIE" (RUNGGU)</t>
  </si>
  <si>
    <t xml:space="preserve">WI00040 </t>
  </si>
  <si>
    <t>PP CAP JAR PUTIH PEARL LIST SILVER</t>
  </si>
  <si>
    <t>WI00068</t>
  </si>
  <si>
    <t>PP CAP JAR UNGU TUA KODE B</t>
  </si>
  <si>
    <t>WI00116</t>
  </si>
  <si>
    <t xml:space="preserve">PP POT JAR EKSOTIKA 20 GR NATURAL </t>
  </si>
  <si>
    <t>WI00057</t>
  </si>
  <si>
    <t>PP CAP JAR EKSOTIKA 20 GR PUTIH</t>
  </si>
  <si>
    <t>WI02124</t>
  </si>
  <si>
    <t>TUTUP JERYCAN 5 LITER PUTIH</t>
  </si>
  <si>
    <t>WI02830</t>
  </si>
  <si>
    <t>CAP LULUR SCARLET 250 UNGU ANAINA</t>
  </si>
  <si>
    <t>WI00314</t>
  </si>
  <si>
    <t>PS POT JAR 20 GR NATURAL</t>
  </si>
  <si>
    <t>WI00022</t>
  </si>
  <si>
    <t>PP CAP JAR NATURAL LIST SILVER</t>
  </si>
  <si>
    <t>WI00024</t>
  </si>
  <si>
    <t>PP CAP JAR PINK (BP. INDRA)</t>
  </si>
  <si>
    <t>WI00674</t>
  </si>
  <si>
    <t>PP CAP JAR BIRU DONGKER</t>
  </si>
  <si>
    <t>WI00038</t>
  </si>
  <si>
    <t xml:space="preserve">PP CAP JAR PUTIH </t>
  </si>
  <si>
    <t>WI00006</t>
  </si>
  <si>
    <t>PP CAP JAR COKLAT "J.S.C"</t>
  </si>
  <si>
    <t>WI00080</t>
  </si>
  <si>
    <t>PP CAP JAR GOLD TUA</t>
  </si>
  <si>
    <t>WI00013</t>
  </si>
  <si>
    <t>PP CAP JAR HIJAU SSC</t>
  </si>
  <si>
    <t>WI00071</t>
  </si>
  <si>
    <t>PP CAP JAR 15 GR UNGU MUDA</t>
  </si>
  <si>
    <t>WI02073</t>
  </si>
  <si>
    <t>COVER LID YT SERIES YTZ 7 C</t>
  </si>
  <si>
    <t>WI01110</t>
  </si>
  <si>
    <t>PP CAP LULUR 250 ML PUTIH (BEDAK BAYI)</t>
  </si>
  <si>
    <t>WI01224</t>
  </si>
  <si>
    <t>PP CAP LULUR 250 ML HITAM (BEDAK BAYI)</t>
  </si>
  <si>
    <t>WI01824</t>
  </si>
  <si>
    <t>PP CAP 500 INAURA POLOS/PEARLIST</t>
  </si>
  <si>
    <t>BJ05110</t>
  </si>
  <si>
    <t>51180640 Cap PP Black Translucent Round 500ml</t>
  </si>
  <si>
    <t>WI00178</t>
  </si>
  <si>
    <t>PP BOTTOM JAR PUTIH GV</t>
  </si>
  <si>
    <t>BJ03118</t>
  </si>
  <si>
    <t>51180230 Cap PP Green Square 500 GR</t>
  </si>
  <si>
    <t>WI02797</t>
  </si>
  <si>
    <t>CAP LULUR 250 ML SQUARE BIRU</t>
  </si>
  <si>
    <t>WI02746</t>
  </si>
  <si>
    <t>CAP LULUR 250 ML SCARLET PINK</t>
  </si>
  <si>
    <t>WI00874</t>
  </si>
  <si>
    <t>CONTAINER YT SERIES YT7C-TP-H</t>
  </si>
  <si>
    <t>BJ03676</t>
  </si>
  <si>
    <t>Cap CBD Smooth Power Step 1 (Keratin)</t>
  </si>
  <si>
    <t>BJ05084</t>
  </si>
  <si>
    <t>51180600 Cap PP Round White Pearlized Rebonding 1000ml</t>
  </si>
  <si>
    <t>WI02537</t>
  </si>
  <si>
    <t>PP CAP BLESSING 1000 PINK</t>
  </si>
  <si>
    <t>BJ04127</t>
  </si>
  <si>
    <t>PM98HH280201855002-SPOUT SLEEK BLD 500 ML</t>
  </si>
  <si>
    <t>HDPE + LDPE</t>
  </si>
  <si>
    <t>WI02865</t>
  </si>
  <si>
    <t>PP CAP LULUR SCARLET 250 KUNING</t>
  </si>
  <si>
    <t>BJ05091</t>
  </si>
  <si>
    <t>51180540 Cap PP Round White Pearlized 500ml</t>
  </si>
  <si>
    <t>WI00463</t>
  </si>
  <si>
    <t>PP OUTER CAP PUTRI 100 ml PUTIH EMBOSE (L ES)</t>
  </si>
  <si>
    <t>WI01301</t>
  </si>
  <si>
    <t>PP CAP MKZ 1000 GR PUTIH (POLOS)</t>
  </si>
  <si>
    <t>WI01814</t>
  </si>
  <si>
    <t>CAP INAURA 1000 GR PEARLIST</t>
  </si>
  <si>
    <t>WI02919</t>
  </si>
  <si>
    <t>PP CAP MKZ 1000 GR COKLAT (POLOS)</t>
  </si>
  <si>
    <t>WI00021</t>
  </si>
  <si>
    <t>PP CAP JAR HITAM</t>
  </si>
  <si>
    <t>WI01313</t>
  </si>
  <si>
    <t>PP CAP JAR UNGU ANAINA</t>
  </si>
  <si>
    <t>WI00004</t>
  </si>
  <si>
    <t>PP JAR 10 GR BIRU MUDA - PUTIH GV SILVER LINE (REPACK)</t>
  </si>
  <si>
    <t>WI00002</t>
  </si>
  <si>
    <t>PP CAP JAR BIRU "RN"</t>
  </si>
  <si>
    <t>WI02428</t>
  </si>
  <si>
    <t>CAP LULUR SCARLET PUTIH</t>
  </si>
  <si>
    <t>WI00411</t>
  </si>
  <si>
    <t>PP CAP BLESSING HITAM</t>
  </si>
  <si>
    <t>BJ06463</t>
  </si>
  <si>
    <t>CESME CAP DEEP PURPLE SOLID</t>
  </si>
  <si>
    <t>BJ02107</t>
  </si>
  <si>
    <t>M2P2IB22RC3 Lid Cover YBO (2) - YTZ4V-TP-H</t>
  </si>
  <si>
    <t>WI00135</t>
  </si>
  <si>
    <t>PP BOTTOM JAR PUTIH NEW DESIGN</t>
  </si>
  <si>
    <t>WI00157</t>
  </si>
  <si>
    <t>PP BOTTOM JAR EKSOTIKA 50 GR PUTIH</t>
  </si>
  <si>
    <t>WI00123</t>
  </si>
  <si>
    <t>PP POT JAR EKSOTIKA 50 GR NATURAL</t>
  </si>
  <si>
    <t>BJ05115</t>
  </si>
  <si>
    <t>CAP SUSU HOME TOWN BIRU</t>
  </si>
  <si>
    <t>BJ05434</t>
  </si>
  <si>
    <t>CAP SUSU HOME TOWN COKLAT</t>
  </si>
  <si>
    <t>WI00748</t>
  </si>
  <si>
    <t>INSERT JAR NATURAL 15 GR APOTIK 12 CAV</t>
  </si>
  <si>
    <t>WI02462</t>
  </si>
  <si>
    <t>Ttp Btl SHZ Lot 100ml</t>
  </si>
  <si>
    <t>WI01322</t>
  </si>
  <si>
    <t>TUTUP BOTOL MY BABY BEAR KUNING</t>
  </si>
  <si>
    <t>WI00141</t>
  </si>
  <si>
    <t>PP BOTTOM JAR PUTIH SUSU</t>
  </si>
  <si>
    <t>WI00410</t>
  </si>
  <si>
    <t>PP CAP BLESSING MERAH</t>
  </si>
  <si>
    <t>BJ05342</t>
  </si>
  <si>
    <t>TUTUP JERRYCAN 10 LTR PUTIH</t>
  </si>
  <si>
    <t>WI00103</t>
  </si>
  <si>
    <t>POT PP 15 GR (NEW DESIGN) NATURAL PEARL</t>
  </si>
  <si>
    <t>WI00102</t>
  </si>
  <si>
    <t xml:space="preserve"> PP POT JAR 15 GR NATURAL </t>
  </si>
  <si>
    <t>WI00098</t>
  </si>
  <si>
    <t>POT JAR 15 GR PUTIH (SERATION NEW DESIGN)</t>
  </si>
  <si>
    <t>WI01036</t>
  </si>
  <si>
    <t>PP JAR CAP DALAM BUNGA PUTIH GV</t>
  </si>
  <si>
    <t>WI00017</t>
  </si>
  <si>
    <t>PP JAR 10 GR HIJAU PEARL-PEARLIST SILVER LINE</t>
  </si>
  <si>
    <t>WI01203</t>
  </si>
  <si>
    <t>CAP LULUR 250 ML GOLD TUA (BEDAK BAYI)</t>
  </si>
  <si>
    <t>WI02713</t>
  </si>
  <si>
    <t>CAP ESTER C HITAM</t>
  </si>
  <si>
    <t>WI00190</t>
  </si>
  <si>
    <t>PP BOTTOM JAR PINK (INDRA)</t>
  </si>
  <si>
    <t>WI00701</t>
  </si>
  <si>
    <t>PP BOTTOM JAR GOLD TUA</t>
  </si>
  <si>
    <t>WI01093</t>
  </si>
  <si>
    <t>PP BOTTOM JAR HIJAU MELON</t>
  </si>
  <si>
    <t>WI02625</t>
  </si>
  <si>
    <t>PP BOTTOM JAR TULIP 10 GR KUNING TRANSPARAN</t>
  </si>
  <si>
    <t>WI02619</t>
  </si>
  <si>
    <t>PP BOTTOM JAR TULIP 10 GR PINK TRANSPARAN</t>
  </si>
  <si>
    <t>WI01042</t>
  </si>
  <si>
    <t>PP BOTTOM LUAR BUNGA NATURAL</t>
  </si>
  <si>
    <t>WI02664</t>
  </si>
  <si>
    <t>PP BOTTOM LUAR BUNGA PINK B ERL</t>
  </si>
  <si>
    <t>WI02356</t>
  </si>
  <si>
    <t>PP BOTTOM LUAR BUNGA HITAM</t>
  </si>
  <si>
    <t>WI01066</t>
  </si>
  <si>
    <t>PP POT ACRYLIC PUTIH</t>
  </si>
  <si>
    <t>WI00095</t>
  </si>
  <si>
    <t>PP POT JAR COPODERMA 15 GR PUTIH</t>
  </si>
  <si>
    <t>WI02624</t>
  </si>
  <si>
    <t>PP CAP JAR TULIP 10 GR KUNING</t>
  </si>
  <si>
    <t>WI00663</t>
  </si>
  <si>
    <t>POT TNP S 40 PUTIH</t>
  </si>
  <si>
    <t>BJ05681</t>
  </si>
  <si>
    <t>PP CAP JAR TULIP 10 GR PINK</t>
  </si>
  <si>
    <t>WI02433</t>
  </si>
  <si>
    <t>PP CAP JAR TIGER PINK TRANS (EMINA LIP MASK)</t>
  </si>
  <si>
    <t>WI00724</t>
  </si>
  <si>
    <t>PP CAP KAPSUL ORANGE PANTONE</t>
  </si>
  <si>
    <t>WI00089</t>
  </si>
  <si>
    <t>PP CAP COPODERMA PUTIH</t>
  </si>
  <si>
    <t>WI00861</t>
  </si>
  <si>
    <t>PP BOTTOM JAR EKSOTIKA 20 GR ABU-ABU</t>
  </si>
  <si>
    <t>WI02661</t>
  </si>
  <si>
    <t>PP JAR CAP LUAR BUNGA PINK B ERL</t>
  </si>
  <si>
    <t>WI02192</t>
  </si>
  <si>
    <t>PP JAR CAP LUAR BUNGA PUTIH GV (FLAT)</t>
  </si>
  <si>
    <t>WI02178</t>
  </si>
  <si>
    <t>CAP BUNGA LUAR HITAM</t>
  </si>
  <si>
    <t>WI00040</t>
  </si>
  <si>
    <t>PP CAP JAR PUTIH PEARL</t>
  </si>
  <si>
    <t>WI00075</t>
  </si>
  <si>
    <t>PP CAP JAR UNGU MELON</t>
  </si>
  <si>
    <t>WI02824</t>
  </si>
  <si>
    <t>PP CAP HITAM LULUR 250 ML</t>
  </si>
  <si>
    <t>BJ02953</t>
  </si>
  <si>
    <t xml:space="preserve">P01624 CAP TANCHO Shampoo Henna </t>
  </si>
  <si>
    <t>BJ02955</t>
  </si>
  <si>
    <t>P01623 CAP TANCHO Shampoo Anti Dandruff With Conditioner Cap Type 500ml Exp (1811)</t>
  </si>
  <si>
    <t>WI00160</t>
  </si>
  <si>
    <t>BOTTOM JAR PP NATURAL PEARL (NEW DESIGN)</t>
  </si>
  <si>
    <t>BJ02956</t>
  </si>
  <si>
    <t>P01619 CAP TANCHO Shampoo Egg Protein</t>
  </si>
  <si>
    <t>WI00148</t>
  </si>
  <si>
    <t>PP BOTTOM JAR EKSOTIKA 20 GR PUTIH</t>
  </si>
  <si>
    <t>WI00159</t>
  </si>
  <si>
    <t>BOTTOM PP NATURAL (NEW DESIGN)</t>
  </si>
  <si>
    <t>WI01040</t>
  </si>
  <si>
    <t>PP JAR CAP LUAR BUNGA PUTIH GV</t>
  </si>
  <si>
    <t>WI01037</t>
  </si>
  <si>
    <t>PP POT DALAM BUNGA PUTIH GV</t>
  </si>
  <si>
    <t>WI02491</t>
  </si>
  <si>
    <t>PP POT BUNGA 15 GR PUTIH EMBOS OVA</t>
  </si>
  <si>
    <t>WI00012</t>
  </si>
  <si>
    <t>PP CAP JAR HIJAU LUMUT</t>
  </si>
  <si>
    <t>BJ01678</t>
  </si>
  <si>
    <t>OUTER CAP PUTRI 100 ML PUTIH</t>
  </si>
  <si>
    <t>WI00444</t>
  </si>
  <si>
    <t>PP OUTER CAP PUTRI PUTIH</t>
  </si>
  <si>
    <t>WI02826</t>
  </si>
  <si>
    <t>LDPE INSERT JAR 10 GR PUTIH 24 CVT</t>
  </si>
  <si>
    <t>WI00416</t>
  </si>
  <si>
    <t>LDPE INSERT JAR 15 GR NATURAL (PP)</t>
  </si>
  <si>
    <t>WI00673</t>
  </si>
  <si>
    <t>OUTER CAP PUTRI 100 ML PINK INDRA</t>
  </si>
  <si>
    <t>WI01149</t>
  </si>
  <si>
    <t>PP OUTER CAP PUTRI 100 ML UNGU TUA (ANAINA)</t>
  </si>
  <si>
    <t>WI00456</t>
  </si>
  <si>
    <t>PP OUTER CAP PUTRI EMAS MUDA</t>
  </si>
  <si>
    <t>WI01052</t>
  </si>
  <si>
    <t>PP OUTER CAP PUTRI 100 ML ORANGE</t>
  </si>
  <si>
    <t>WI00461</t>
  </si>
  <si>
    <t>PP OUTER CAP PUTRI HIJAU MELON</t>
  </si>
  <si>
    <t>WI00407</t>
  </si>
  <si>
    <t>PP CAP SHINZUI 110 GR NATURAL</t>
  </si>
  <si>
    <t>WI02721</t>
  </si>
  <si>
    <t>CAP LULUR 250 ML VIOLET BURGUNDY</t>
  </si>
  <si>
    <t>BJ02067</t>
  </si>
  <si>
    <t>CAP POLOS KUNING</t>
  </si>
  <si>
    <t>BJ02732</t>
  </si>
  <si>
    <t xml:space="preserve">CAP POLOS PUTIH (POLOS) </t>
  </si>
  <si>
    <t>BJ05251</t>
  </si>
  <si>
    <t>2G00172 CAP PB LM COFFEE 100</t>
  </si>
  <si>
    <t>BJ05005</t>
  </si>
  <si>
    <t>2G00144  CAP LM 100 PUTIH NEW</t>
  </si>
  <si>
    <t xml:space="preserve">BJ05010 </t>
  </si>
  <si>
    <t>2G00148 CAP LM 100 SUSU + BENGKOANG</t>
  </si>
  <si>
    <t>BJ05003</t>
  </si>
  <si>
    <t>2F00015  POT PB LM 100G NEW ALL IN</t>
  </si>
  <si>
    <t>BJ02793</t>
  </si>
  <si>
    <t>51180220 Cap PP Maroon Square 500 gr</t>
  </si>
  <si>
    <t>WI01217</t>
  </si>
  <si>
    <t>PP CAP JAR BLANC PUTIH</t>
  </si>
  <si>
    <t>BJ05009</t>
  </si>
  <si>
    <t>2G00147  CAP LM 100 BRIGHT + VIT E</t>
  </si>
  <si>
    <t>BJ04991</t>
  </si>
  <si>
    <t>2G00133 CAP LM 200 MUTIARA NEW</t>
  </si>
  <si>
    <t>BJ04831</t>
  </si>
  <si>
    <t>CAP POLOS PUTIH [320]</t>
  </si>
  <si>
    <t>BJ03705</t>
  </si>
  <si>
    <t>CAP BOTOL SDM 100 ML</t>
  </si>
  <si>
    <t>WI02831</t>
  </si>
  <si>
    <t>CAP LULUR SCARLET 250 HITAM</t>
  </si>
  <si>
    <t>WI01283</t>
  </si>
  <si>
    <t>PP OUTER CAP 100 ML HIJAU ISKARNO List Gold</t>
  </si>
  <si>
    <t>WI00414</t>
  </si>
  <si>
    <t>PP CAP SHINZUI BODY CLEANSER 250 ML</t>
  </si>
  <si>
    <t>BJ03343</t>
  </si>
  <si>
    <t>OUTER CAP PUTRI 100 ML NATURAL</t>
  </si>
  <si>
    <t>WI00765</t>
  </si>
  <si>
    <t>PP CAP MKZ 1000 GR HITAM (POLOS)</t>
  </si>
  <si>
    <t>WI00348</t>
  </si>
  <si>
    <t>PS BOTTOM JAR NATURAL</t>
  </si>
  <si>
    <t>WI00349</t>
  </si>
  <si>
    <t>PS BOTTOM JAR PUTIH GV</t>
  </si>
  <si>
    <t>WI01073</t>
  </si>
  <si>
    <t>PS BOTTOM 15 GR PUTIH TIGER</t>
  </si>
  <si>
    <t>WI01072</t>
  </si>
  <si>
    <t>POT PP 10 GR PUTIH TIGER</t>
  </si>
  <si>
    <t>BJ0606</t>
  </si>
  <si>
    <t>OUTER CAP PUTRI 100 ML HIJAU TOSCA</t>
  </si>
  <si>
    <t>WI02789</t>
  </si>
  <si>
    <t>PP OUTER CAP PUTRI UNGU (INA)</t>
  </si>
  <si>
    <t>WI01071</t>
  </si>
  <si>
    <t>PP OUTER CAP ABU - ABU</t>
  </si>
  <si>
    <t>WI00375</t>
  </si>
  <si>
    <t>PP CAP MKZ 500 GR PUTIH (POLOS)</t>
  </si>
  <si>
    <t>WI01102</t>
  </si>
  <si>
    <t>POT LULUR 100 ML PUTIH (BEDAK BAYI)</t>
  </si>
  <si>
    <t>WI00878</t>
  </si>
  <si>
    <t>PP OUTER CAP PUTRI HIJAU (SAGARA)</t>
  </si>
  <si>
    <t>WI00464</t>
  </si>
  <si>
    <t>OUTER CAP PUTRI EMAS TUA</t>
  </si>
  <si>
    <t>WI02914</t>
  </si>
  <si>
    <t>PP OUTER CAP PUTRI 100 ml HIJAU EMBOSE (L ES)</t>
  </si>
  <si>
    <t>WI00846</t>
  </si>
  <si>
    <t>OUTER CAP PUTRI 100 ML UNGU TUA PANTONE</t>
  </si>
  <si>
    <t>WI02930</t>
  </si>
  <si>
    <t>CAP LULUR SCARLET 250 UNGU MUDA</t>
  </si>
  <si>
    <t>WI01919</t>
  </si>
  <si>
    <t>PP CAP MKZ 1000 GR (POLOS) ABU-ABU</t>
  </si>
  <si>
    <t>BJ05236</t>
  </si>
  <si>
    <t>2G00170 CAP PB LM SAKURA 100</t>
  </si>
  <si>
    <t>BJ04995</t>
  </si>
  <si>
    <t>2G00139 CAP LM 200 BRIGHTENING&amp;VIT E NEW</t>
  </si>
  <si>
    <t>BJ04996</t>
  </si>
  <si>
    <t>2G00138 CAP LM 200 SUSU&amp;BENGKOANG NEW</t>
  </si>
  <si>
    <t>BJ04992</t>
  </si>
  <si>
    <t>2G00134 CAP LM 200 BENGKOANG NEW</t>
  </si>
  <si>
    <t>BJ05252</t>
  </si>
  <si>
    <t>2G00173 CAP PB LM COFFEE 200</t>
  </si>
  <si>
    <t>WI02971</t>
  </si>
  <si>
    <t>CAP LULUR SCARLET 250 PINK [PINK MB 3429]</t>
  </si>
  <si>
    <t>BJ04994</t>
  </si>
  <si>
    <t>2G00137 CAP LM 200 GREENTEA NEW</t>
  </si>
  <si>
    <t>BJ05235</t>
  </si>
  <si>
    <t>2G00171 CAP PB LM SAKURA 200</t>
  </si>
  <si>
    <t>BJ04990</t>
  </si>
  <si>
    <t>2G00135 CAP LM 200 PUTIH NEW</t>
  </si>
  <si>
    <t>BJ05135</t>
  </si>
  <si>
    <t>2G00159 CAP LM 200 HABBATUSSAUDA</t>
  </si>
  <si>
    <t>BJ00209</t>
  </si>
  <si>
    <t>POT LULUR PUTIH + PUTIH 100 GR</t>
  </si>
  <si>
    <t>WI02997</t>
  </si>
  <si>
    <t>CAP LULUR SCARLET 250 HIJAU TOSCA</t>
  </si>
  <si>
    <t>WI02926</t>
  </si>
  <si>
    <t>CAP LULUR SCARLET 250 PINK [16976-BL]</t>
  </si>
  <si>
    <t>BJ00210</t>
  </si>
  <si>
    <t xml:space="preserve">2G00028 CAP LM 125 PUTIH </t>
  </si>
  <si>
    <t>BJ05121</t>
  </si>
  <si>
    <t>PM09HH280201850500-CAP SLEEK BLD 500 ML</t>
  </si>
  <si>
    <t>BJ06235</t>
  </si>
  <si>
    <t>CAP PUTIH 500 GR (Tanpa Insert) NEW EMBOSS</t>
  </si>
  <si>
    <t>BJ04989</t>
  </si>
  <si>
    <t>2G00136 CAP LM 200 ZAITUN NEW</t>
  </si>
  <si>
    <t>BJ01778</t>
  </si>
  <si>
    <t>2G00032 CAP LM 235 PUTIH</t>
  </si>
  <si>
    <t>WI00380</t>
  </si>
  <si>
    <t>PP CAP MAKARIZO 500 GR PERALIZED</t>
  </si>
  <si>
    <t>WI01267</t>
  </si>
  <si>
    <t>OUTER CAP PUTRI 100 ML HIJAU EVANA</t>
  </si>
  <si>
    <t>BJ05144</t>
  </si>
  <si>
    <t>BOTOL PUTRI 100 ML NATURAL POLOS (IMMORTAL)</t>
  </si>
  <si>
    <t>HDPE 5502</t>
  </si>
  <si>
    <t>BJ05138</t>
  </si>
  <si>
    <t>BOTOL PUTRI 100 ML new mould White opaque</t>
  </si>
  <si>
    <t>HDPE 5503</t>
  </si>
  <si>
    <t>BJ01981</t>
  </si>
  <si>
    <t>BOTOL PUTRI 100 ML PUTIH EMBOSE LESS (IBM) + LIST SILVER</t>
  </si>
  <si>
    <t>BJ05139</t>
  </si>
  <si>
    <t>BOTOL PUTRI 100 ML PUTIH NEW MOLD  TANPA LIST</t>
  </si>
  <si>
    <t>HDPE 4200</t>
  </si>
  <si>
    <t>BJ06166</t>
  </si>
  <si>
    <t>BOTOL PUTRI 100 ML NATURAL (IBM) EMBOSS WD</t>
  </si>
  <si>
    <t xml:space="preserve"> HDPE 4200</t>
  </si>
  <si>
    <t>BJ05237</t>
  </si>
  <si>
    <t>Botol PUTRI 100 ml Natural POLOS Cap + Ttp Putih Ring Gold</t>
  </si>
  <si>
    <t>BJ05424</t>
  </si>
  <si>
    <t>BOTOL PUTRI 100 ML NATURAL (IBM) LESS LIST GOLD</t>
  </si>
  <si>
    <t>WI02711</t>
  </si>
  <si>
    <t>LID COVER YBO (3)-MPL-YTZ4V-YU-5YMH4</t>
  </si>
  <si>
    <t>BJ06462</t>
  </si>
  <si>
    <t>WI00142</t>
  </si>
  <si>
    <t>PP BOTTOM JAR EKSOTIKA 15 GR PUTIH</t>
  </si>
  <si>
    <t>BJ03597</t>
  </si>
  <si>
    <t>Top &amp; Body Cap Ultrasound 250 ml</t>
  </si>
  <si>
    <t>WI02009</t>
  </si>
  <si>
    <t>WI03057</t>
  </si>
  <si>
    <t>PP CAP JAR FLAT 10 GR UNGU</t>
  </si>
  <si>
    <t>WI02894</t>
  </si>
  <si>
    <t>PP CAP JAR FLAT 10 GR PUTIH GV</t>
  </si>
  <si>
    <t>WI01741</t>
  </si>
  <si>
    <t>PREFORM BOTOL SCARLETT 100 ML ORANGE TRANS</t>
  </si>
  <si>
    <t>WI02669</t>
  </si>
  <si>
    <t>PP PLUG PUTIH TRANSPARAN LULUR 250 ML</t>
  </si>
  <si>
    <t>WI02670</t>
  </si>
  <si>
    <t>PP PLUG NATURAL LULUR 250 ML</t>
  </si>
  <si>
    <t>BJ06530</t>
  </si>
  <si>
    <t>BOTOL PUTRI 100 ML PUTIH (IBM)</t>
  </si>
  <si>
    <t>HDPE</t>
  </si>
  <si>
    <t>WI03085</t>
  </si>
  <si>
    <t>PREFORM BOTOL SCARLETT 100 ML KUNING TRANS</t>
  </si>
  <si>
    <t>WI02875</t>
  </si>
  <si>
    <t>PREFORM BOTOL PET ROUND FLAT 250 ML PUTIH (23 GR)</t>
  </si>
  <si>
    <t>WI01255</t>
  </si>
  <si>
    <t>PP INSERT JAR EMINA NATURAL</t>
  </si>
  <si>
    <t>WI01812</t>
  </si>
  <si>
    <t>PP INSERT JAR EMINA 30 GR PUTIH</t>
  </si>
  <si>
    <t>BJ01119</t>
  </si>
  <si>
    <t>PLUG BOTOL YARDLEY 60/100  ML NATURAL</t>
  </si>
  <si>
    <t>WI03086</t>
  </si>
  <si>
    <t>PREFORM BOTOL PET SYB 250 ML NATURAL</t>
  </si>
  <si>
    <t>WI02008</t>
  </si>
  <si>
    <t>WI03077</t>
  </si>
  <si>
    <t>PREFORM POT LULUR 250 ML BIRU NURUL QOMARY</t>
  </si>
  <si>
    <t>WI03076</t>
  </si>
  <si>
    <t>CAP LULUR SCARLET 250 BIRU NURUL QOMARY</t>
  </si>
  <si>
    <t>BJ06547</t>
  </si>
  <si>
    <t>PREFORM N28 W35 NATURAL</t>
  </si>
  <si>
    <t>WI03099</t>
  </si>
  <si>
    <t>PP CAP CREAM 500 GR (POLOS)</t>
  </si>
  <si>
    <t>WI03102</t>
  </si>
  <si>
    <t>PREFORM BOTOL PET LOTION 100 ML PINK</t>
  </si>
  <si>
    <t>WI02236</t>
  </si>
  <si>
    <t>PP CAP ABU-ABU 500 GR (POLOS) (COSINDO)</t>
  </si>
  <si>
    <t>WI02532</t>
  </si>
  <si>
    <t>PREFORM BOTOL PET 550 ML BIODEF BIRU TRANS</t>
  </si>
  <si>
    <t>WI03103</t>
  </si>
  <si>
    <t>PREFORM Botol BLANC 125 ML BIRU TRANSP [DANDELION] (SAMPEL 20 gr)</t>
  </si>
  <si>
    <t>WI03110</t>
  </si>
  <si>
    <t>PREFORM N24 W23,5 Gr NATURAL</t>
  </si>
  <si>
    <t>BJ05355</t>
  </si>
  <si>
    <t>PLUG JERRYCAN 10 LTR  TRANSPARAN</t>
  </si>
  <si>
    <t>LDPE</t>
  </si>
  <si>
    <t>BJ00272</t>
  </si>
  <si>
    <t>PP CAP AGRO PUTIH</t>
  </si>
  <si>
    <t>BJ00276</t>
  </si>
  <si>
    <t>LDPE PLUG AGRO TRANSP</t>
  </si>
  <si>
    <t>WI03115</t>
  </si>
  <si>
    <t>PREFORM N24 W13 Gr NATURAL</t>
  </si>
  <si>
    <t>WI02864</t>
  </si>
  <si>
    <t>PREFORM POT LULUR 250 ml KUNING</t>
  </si>
  <si>
    <t>WI03116</t>
  </si>
  <si>
    <t>PREFORM MINOSEP 130 ML PUTIH</t>
  </si>
  <si>
    <t>BJ06400</t>
  </si>
  <si>
    <t>WHITEINC Botol Body Wash 400ml Pink Transparant (46gr)</t>
  </si>
  <si>
    <t>PREFORM</t>
  </si>
  <si>
    <t>BJ05344</t>
  </si>
  <si>
    <t>SCARLETT POT BODY SCRUB LULUR COFFEE 250 ML POLOS</t>
  </si>
  <si>
    <t>BJ05685</t>
  </si>
  <si>
    <t>SCARLETT Botol 300 ml Pink Loving</t>
  </si>
  <si>
    <t>BJ06130</t>
  </si>
  <si>
    <t>SCARLETT BOTOL 300 ML CHERRYLICIOUS</t>
  </si>
  <si>
    <t>BJ05684</t>
  </si>
  <si>
    <t>SCARLETT Botol 300 ml Body Wash Pomegrante</t>
  </si>
  <si>
    <t>BJ05127</t>
  </si>
  <si>
    <t>POT LULUR SCARLETT 250 ML PUTIH + CAP (POLOS)</t>
  </si>
  <si>
    <t>WI02931</t>
  </si>
  <si>
    <t>POT LULUR SCARLET NATURAL + CAP UNGU MUDA</t>
  </si>
  <si>
    <t>BJ05820</t>
  </si>
  <si>
    <t>POT LULUR NATURAL</t>
  </si>
  <si>
    <t>BJ05935</t>
  </si>
  <si>
    <t>POT LULUR BIRU MUDA</t>
  </si>
  <si>
    <t>BJ06467</t>
  </si>
  <si>
    <t>POT JAR PET 250 UNGU TRANS</t>
  </si>
  <si>
    <t>BJ06468</t>
  </si>
  <si>
    <t>POT JAR PET 250 UNGU SOLID</t>
  </si>
  <si>
    <t>BJ06466</t>
  </si>
  <si>
    <t>POT JAR PET 250 PEACH SOLID</t>
  </si>
  <si>
    <t>BJ05806</t>
  </si>
  <si>
    <t>POT JAR PET 250 ML VIOLET BURGUNDY + CAP BURGUNDY</t>
  </si>
  <si>
    <t>BJ05789</t>
  </si>
  <si>
    <t>POT JAR PET 250 ML VIOLET BURGUNDY</t>
  </si>
  <si>
    <t>BJ05979</t>
  </si>
  <si>
    <t>POT JAR PET 250 ML UNGU + CAP UNGU ANAINA</t>
  </si>
  <si>
    <t>BJ05845</t>
  </si>
  <si>
    <t>POT JAR PET 250 ML SQUARE PUTIH + CAP PP PUTIH</t>
  </si>
  <si>
    <t>BJ06211</t>
  </si>
  <si>
    <t>POT JAR PET 250 ML SQUARE PINK + CAP PP PINK</t>
  </si>
  <si>
    <t>BJ06193</t>
  </si>
  <si>
    <t>POT JAR PET 250 ML SQUARE PINK</t>
  </si>
  <si>
    <t>BJ06099</t>
  </si>
  <si>
    <t>POT JAR PET 250 ML SQUARE NATURAL + CAP PP PUTIH</t>
  </si>
  <si>
    <t>BJ05836</t>
  </si>
  <si>
    <t>POT JAR PET 250 ML SQUARE HITAM + CAP PP HITAM</t>
  </si>
  <si>
    <t>BJ05831</t>
  </si>
  <si>
    <t>POT JAR PET 250 ML PUTIH + CAP PUTIH</t>
  </si>
  <si>
    <t>WI02738</t>
  </si>
  <si>
    <t>POT JAR PET 250 ML NATURAL + CAP UNGU MUDA</t>
  </si>
  <si>
    <t>BJ06498</t>
  </si>
  <si>
    <t>POT JAR PET 250 ML NATURAL + CAP PINK KODE B Bp Irfan</t>
  </si>
  <si>
    <t>BJ06433</t>
  </si>
  <si>
    <t>POT JAR PET 250 ML NATURAL + CAP BURGUNDY</t>
  </si>
  <si>
    <t>BJ06520</t>
  </si>
  <si>
    <t>POT JAR PET 250 ML NATURAL</t>
  </si>
  <si>
    <t>WI02866</t>
  </si>
  <si>
    <t>POT JAR PET 250 ML MAROON + CAP PUTIH</t>
  </si>
  <si>
    <t>BJ06084</t>
  </si>
  <si>
    <t>POT JAR PET 250 ML KUNING + CAP KUNING</t>
  </si>
  <si>
    <t>BJ05941</t>
  </si>
  <si>
    <t>POT JAR PET 250 ML HITAM + CAP HITAM</t>
  </si>
  <si>
    <t>BJ06318</t>
  </si>
  <si>
    <t>POT JAR PET 250 ML HIJAU TOSCA + CAP HIJAU TOSCA MUDA</t>
  </si>
  <si>
    <t>BJ06486</t>
  </si>
  <si>
    <t>POT JAR PET 250 ML BIRU KODE B + CAP BIRU</t>
  </si>
  <si>
    <t>BJ06469</t>
  </si>
  <si>
    <t>POT JAR PET 250 KUNING</t>
  </si>
  <si>
    <t>BJ06276</t>
  </si>
  <si>
    <t>P07600 BOTOL PET Polos PIXY Aqua Beauty Protecting Mist 100ml (2505)</t>
  </si>
  <si>
    <t>BJ05665</t>
  </si>
  <si>
    <t>MINYAK GORENG 250ml KOTAK</t>
  </si>
  <si>
    <t>BJ05664</t>
  </si>
  <si>
    <t>MINYAK GORENG 1000 ML KOTAK</t>
  </si>
  <si>
    <t>BJ04818</t>
  </si>
  <si>
    <t>HANDWASH BIODEF</t>
  </si>
  <si>
    <t>BJ05493</t>
  </si>
  <si>
    <t>BTL PIXY Aqua Ungu</t>
  </si>
  <si>
    <t>BJ06465</t>
  </si>
  <si>
    <t>BOTOL SQUARE 200 ML UNGU TRANS 23,5 g</t>
  </si>
  <si>
    <t>WI03088</t>
  </si>
  <si>
    <t>BOTOL SQUARE 200 ML UNGU TRANS [23.5 GR]</t>
  </si>
  <si>
    <t>BJ06464</t>
  </si>
  <si>
    <t>BOTOL SQUARE 200 ML NATURAL 23,5 g</t>
  </si>
  <si>
    <t>WI02762</t>
  </si>
  <si>
    <t>BOTOL SOLACE HIJAU</t>
  </si>
  <si>
    <t>BJ05867</t>
  </si>
  <si>
    <t>BJ05648</t>
  </si>
  <si>
    <t>BOTOL SIRUP PET 770 ML NATURAL BERAT 50 gr</t>
  </si>
  <si>
    <t>BJ06408</t>
  </si>
  <si>
    <t>BOTOL SCARLETT ACNE FACIAL WASH 100 ML NATURAL EMBOSS</t>
  </si>
  <si>
    <t>BJ05682</t>
  </si>
  <si>
    <t>BOTOL SCARLETT 300 ML UNGU TUA/CHARMING</t>
  </si>
  <si>
    <t>BJ04366</t>
  </si>
  <si>
    <t>BOTOL SCARLETT 300 ML NECK 24 CLEAR WITH EMBOSS</t>
  </si>
  <si>
    <t>BJ05842</t>
  </si>
  <si>
    <t>BOTOL SCARLETT 300 ML MERAH</t>
  </si>
  <si>
    <t>WI02401</t>
  </si>
  <si>
    <t>BOTOL SCARLETT 100 ML NATURAL</t>
  </si>
  <si>
    <t>BJ05683</t>
  </si>
  <si>
    <t>BOTOL SAS JOLY COKLAT MUDA</t>
  </si>
  <si>
    <t>BJ06028</t>
  </si>
  <si>
    <t>Botol RF PET 100 ml Putih Tutup Ulir Putih + Plug</t>
  </si>
  <si>
    <t>WI02415</t>
  </si>
  <si>
    <t>BOTOL PUCELLE LA SIGNATURE COLOGNE 115ML (NAT)</t>
  </si>
  <si>
    <t>BJ06060</t>
  </si>
  <si>
    <t>BOTOL POLOS PIXY AQUA 60 ML UNGU</t>
  </si>
  <si>
    <t>BJ06023</t>
  </si>
  <si>
    <t xml:space="preserve">BOTOL POLOS PIXY AQUA 60 ML BIRU </t>
  </si>
  <si>
    <t>WI02957</t>
  </si>
  <si>
    <t>BOTOL PET WATSON 500 ML NATURAL</t>
  </si>
  <si>
    <t>WI02844</t>
  </si>
  <si>
    <t>BOTOL PET WATSON 1000 ML NATURAL</t>
  </si>
  <si>
    <t>WI03087</t>
  </si>
  <si>
    <t>BOTOL PET SYB 250 ML NATURAL</t>
  </si>
  <si>
    <t>WI02909</t>
  </si>
  <si>
    <t>BOTOL PET SUMMER 300 ML HIJAU</t>
  </si>
  <si>
    <t>WI03084</t>
  </si>
  <si>
    <t>BOTOL PET SQUARE NATURAL 200 ML [23.5 GR]</t>
  </si>
  <si>
    <t>WI02899</t>
  </si>
  <si>
    <t>BOTOL PET SPRING 300 ML PINK</t>
  </si>
  <si>
    <t>WI02897</t>
  </si>
  <si>
    <t>BOTOL PET SPRING 125 ML PINK</t>
  </si>
  <si>
    <t>WI02761</t>
  </si>
  <si>
    <t>BOTOL PET SOLACE 120 ML ORANGE</t>
  </si>
  <si>
    <t>BJ05866</t>
  </si>
  <si>
    <t>BJ04868</t>
  </si>
  <si>
    <t>BOTOL PET SDM 100 ML PUTIH [23.5 GR]</t>
  </si>
  <si>
    <t>WI02976</t>
  </si>
  <si>
    <t>BOTOL PET SCARLETT ACNE FACIAL WASH 100 ML NATURAL</t>
  </si>
  <si>
    <t>BJ06529</t>
  </si>
  <si>
    <t>BOTOL PET ROUND FLAT 250 TINGGI PUTIH</t>
  </si>
  <si>
    <t>BJ06416</t>
  </si>
  <si>
    <t>BOTOL PET ROUND FLAT 250 TINGGI NATURAL</t>
  </si>
  <si>
    <t>WI02884</t>
  </si>
  <si>
    <t>BOTOL PET ROUND FLAT 250 PINK</t>
  </si>
  <si>
    <t>WI02874</t>
  </si>
  <si>
    <t>BOTOL PET ROUND FLAT 250 ML PUTIH(23 gr)</t>
  </si>
  <si>
    <t>BJ05359</t>
  </si>
  <si>
    <t>BOTOL PET ROUND FLAT 250 ML PUTIH (20 gr)</t>
  </si>
  <si>
    <t>BJ05360</t>
  </si>
  <si>
    <t>BOTOL PET ROUND FLAT 250 ML NATURAL (20 gr)</t>
  </si>
  <si>
    <t>BJ05426</t>
  </si>
  <si>
    <t>BOTOL PET ROUND FLAT 250 ML HITAM SOLID (20 gr)</t>
  </si>
  <si>
    <t>BJ05720</t>
  </si>
  <si>
    <t>BOTOL PET ROUND FLAT 250 ML HIJAU TRANS (20 gr)</t>
  </si>
  <si>
    <t>BJ05811</t>
  </si>
  <si>
    <t>BOTOL PET ROUND FLAT 250 ML AMBER TUA (20gr)</t>
  </si>
  <si>
    <t>BJ05723</t>
  </si>
  <si>
    <t>BOTOL PET ROUND FLAT 250 ML AMBER (20 gr)</t>
  </si>
  <si>
    <t>WI01639</t>
  </si>
  <si>
    <t>BOTOL PET ROUND FLAT 100 ML NATURAL</t>
  </si>
  <si>
    <t>BJ05858</t>
  </si>
  <si>
    <t>BOTOL PET ROUND FLAT 100 ML HITAM TRANS</t>
  </si>
  <si>
    <t>WI01623</t>
  </si>
  <si>
    <t>BOTOL PET ROUND FLAT 100 ML BIRU TRANS (KAHF)</t>
  </si>
  <si>
    <t>BJ04491</t>
  </si>
  <si>
    <t>BOTOL PET ROUND FLAT 100 ML AMBER TUA</t>
  </si>
  <si>
    <t>BJ05722</t>
  </si>
  <si>
    <t>BOTOL PET ROUND FLAT 100 ML AMBER TRANS</t>
  </si>
  <si>
    <t>WI02582</t>
  </si>
  <si>
    <t>BOTOL PET ROUND 100ml HITAM</t>
  </si>
  <si>
    <t>WI02889</t>
  </si>
  <si>
    <t>BOTOL PET RF 100 ML PINK SOLID</t>
  </si>
  <si>
    <t>BJ06049</t>
  </si>
  <si>
    <t>BOTOL PET RF 100 ML KUNING TRANS</t>
  </si>
  <si>
    <t>BJ04874</t>
  </si>
  <si>
    <t>Botol PET RF 100 C, Natural, Round, 24/410, 39.5x110.5mm, 13 gr, NP</t>
  </si>
  <si>
    <t>WI03061</t>
  </si>
  <si>
    <t>BOTOL PET OSTARA 150 ML</t>
  </si>
  <si>
    <t>WI03074</t>
  </si>
  <si>
    <t>BOTOL PET OMG FRESH 75 ML PINK TRANS</t>
  </si>
  <si>
    <t>WI03072</t>
  </si>
  <si>
    <t xml:space="preserve">BOTOL PET OMG FRESH 75 ML HIJAU TRANS SPLASH </t>
  </si>
  <si>
    <t>BJ06036</t>
  </si>
  <si>
    <t>BOTOL PET NPURE 150 ML ORANGE TRANS</t>
  </si>
  <si>
    <t>BJ06014</t>
  </si>
  <si>
    <t>BOTOL PET NECK 36</t>
  </si>
  <si>
    <t>WI02882</t>
  </si>
  <si>
    <t>BOTOL PET MINOSEP 200 ML PUTIH</t>
  </si>
  <si>
    <t>WI02877</t>
  </si>
  <si>
    <t>BOTOL PET MINOSEP 200 ML MERAH</t>
  </si>
  <si>
    <t>WI02822</t>
  </si>
  <si>
    <t>BOTOL PET MICELLAR 100 ML PINK (SAKURA)</t>
  </si>
  <si>
    <t>BJ06556</t>
  </si>
  <si>
    <t>BOTOL PET LOTION 100 ML ( Emboss ARTA LDT ) ( 13 GR )</t>
  </si>
  <si>
    <t>BJ06258</t>
  </si>
  <si>
    <t>BOTOL PET KOTAK BIRU TRANSPARAN 80 ML</t>
  </si>
  <si>
    <t>BJ06316</t>
  </si>
  <si>
    <t>BOTOL PET CAPSULE 60 ML PUTIH EMBOSS WLW</t>
  </si>
  <si>
    <t>BJ06405</t>
  </si>
  <si>
    <t>BOTOL PET CAPSULE 60 ML PUTIH EMBOSS KALON ( 21 gr )</t>
  </si>
  <si>
    <t>BJ06227</t>
  </si>
  <si>
    <t>BOTOL PET CAPSULE 60 ML HIJAU EMBOSS WLW</t>
  </si>
  <si>
    <t>WI02836</t>
  </si>
  <si>
    <t>BOTOL PET BODY WASH 500 ML PINK</t>
  </si>
  <si>
    <t>WI01266</t>
  </si>
  <si>
    <t>BOTOL PET BBL 75 ML HIJAU TRANS</t>
  </si>
  <si>
    <t>BJ05905</t>
  </si>
  <si>
    <t>BOTOL PET ADMIRE PINK TRANSPARANT 400 ML</t>
  </si>
  <si>
    <t>BJ05909</t>
  </si>
  <si>
    <t>BOTOL PET ADMIRE HIJAU/NATUREDAILY 400 ML</t>
  </si>
  <si>
    <t>BJ05906</t>
  </si>
  <si>
    <t>BOTOL PET ADMIRE BIRU TUA KODE B 400 ML</t>
  </si>
  <si>
    <t>BJ06067</t>
  </si>
  <si>
    <t>BOTOL PET ADMIRE 100 ML PINK</t>
  </si>
  <si>
    <t>BJ06333</t>
  </si>
  <si>
    <t>BOTOL PET 90 ML BODY MIST UNGU/VIOLET</t>
  </si>
  <si>
    <t>BJ06330</t>
  </si>
  <si>
    <t>BOTOL PET 90 ML BODY MIST PINK</t>
  </si>
  <si>
    <t>BJ06332</t>
  </si>
  <si>
    <t>BOTOL PET 90 ML BODY MIST ORANGE</t>
  </si>
  <si>
    <t>BJ04331</t>
  </si>
  <si>
    <t>BOTOL PET 60ML PUTIH</t>
  </si>
  <si>
    <t>WI02873</t>
  </si>
  <si>
    <t>BOTOL PET 60ml PEARLIZE</t>
  </si>
  <si>
    <t>BJ06020</t>
  </si>
  <si>
    <t>BOTOL PET 60ML MINI EARTH (13 gr)</t>
  </si>
  <si>
    <t>BJ05703</t>
  </si>
  <si>
    <t>BOTOL PET 60ml AMBER TUA</t>
  </si>
  <si>
    <t>BJ04337</t>
  </si>
  <si>
    <t>BOTOL PET 60ml AMBER</t>
  </si>
  <si>
    <t>WI02596</t>
  </si>
  <si>
    <t>BOTOL PET 600 ML NATURAL</t>
  </si>
  <si>
    <t>BJ06263</t>
  </si>
  <si>
    <t xml:space="preserve">BOTOL PET 60 ML UNGU TRANS  </t>
  </si>
  <si>
    <t>BJ06268</t>
  </si>
  <si>
    <t>BOTOL PET 60 ML UNGU TRANS</t>
  </si>
  <si>
    <t>WI02197</t>
  </si>
  <si>
    <t>BOTOL PET 60 ML UNGU NECK 24</t>
  </si>
  <si>
    <t>WI02225</t>
  </si>
  <si>
    <t>BOTOL PET 60 ML PUTIH</t>
  </si>
  <si>
    <t>BJ06264</t>
  </si>
  <si>
    <t xml:space="preserve">BOTOL PET 60 ML PINK TRANS  </t>
  </si>
  <si>
    <t>BJ06269</t>
  </si>
  <si>
    <t>BOTOL PET 60 ML PINK TRANS</t>
  </si>
  <si>
    <t>BJ06123</t>
  </si>
  <si>
    <t>BOTOL PET 60 ML PINK SOLID ( Cresindo )</t>
  </si>
  <si>
    <t>BJ04332</t>
  </si>
  <si>
    <t>BOTOL PET 60 ML NATURAL</t>
  </si>
  <si>
    <t>BJ04719</t>
  </si>
  <si>
    <t>Botol PET 60 ml Hitam Neck 37 [15 gr]</t>
  </si>
  <si>
    <t>BJ06262</t>
  </si>
  <si>
    <t xml:space="preserve">BOTOL PET 60 ML BIRU TRANS  </t>
  </si>
  <si>
    <t>BJ06267</t>
  </si>
  <si>
    <t>BOTOL PET 60 ML BIRU TRANS</t>
  </si>
  <si>
    <t>BJ05296</t>
  </si>
  <si>
    <t>BOTOL PET 550 ML BIODEF GREEN</t>
  </si>
  <si>
    <t>BJ05290</t>
  </si>
  <si>
    <t>BOTOL PET 550 ML BIODEF BIRU TRANS</t>
  </si>
  <si>
    <t>BJ05843</t>
  </si>
  <si>
    <t>BOTOL PET 500 ML PUTIH (ROUND) (26 GR)</t>
  </si>
  <si>
    <t>BJ05830</t>
  </si>
  <si>
    <t>BOTOL PET 500 ML NATURAL (ROUND) (26 GR)</t>
  </si>
  <si>
    <t>BJ05848</t>
  </si>
  <si>
    <t>BOTOL PET 500 ML HITAM (ROUND) (26 GR)</t>
  </si>
  <si>
    <t>BJ06202</t>
  </si>
  <si>
    <t>BOTOL PET 500 ML AMBER (ROUND) (26 GR)</t>
  </si>
  <si>
    <t>WI00536</t>
  </si>
  <si>
    <t>BOTOL PET 500 ML</t>
  </si>
  <si>
    <t>WI02929</t>
  </si>
  <si>
    <t>BOTOL PET 300 ML OMG HIJAU</t>
  </si>
  <si>
    <t>BJ05837</t>
  </si>
  <si>
    <t>BOTOL PET 30 ML NATURAL ( 7 gr )</t>
  </si>
  <si>
    <t>BJ06233</t>
  </si>
  <si>
    <t>BOTOL PET 30 ML AMBER ( 12-13 gr ) LAXADINE</t>
  </si>
  <si>
    <t>WI02887</t>
  </si>
  <si>
    <t>BOTOL PET 250 ML PUTIH GV (ROUND) (23 gr)</t>
  </si>
  <si>
    <t>BJ04371</t>
  </si>
  <si>
    <t xml:space="preserve">BOTOL PET 250 ML PUTIH (ROUND) (23 gr) </t>
  </si>
  <si>
    <t>WI02879</t>
  </si>
  <si>
    <t>BOTOL PET 250 ML PUTIH (ROUND) (23 gr)</t>
  </si>
  <si>
    <t>WI01780</t>
  </si>
  <si>
    <t>BOTOL PET 250 ML pink TRANS (ROUND) (23.75 GR)</t>
  </si>
  <si>
    <t>BOTOL PET 250 ML PINK SAKURA</t>
  </si>
  <si>
    <t>WI02649</t>
  </si>
  <si>
    <t>BOTOL PET 250 ML PINK ROSE</t>
  </si>
  <si>
    <t>BJ03390</t>
  </si>
  <si>
    <t>BOTOL PET 250 ML PINK (ROUND)</t>
  </si>
  <si>
    <t>WI02361</t>
  </si>
  <si>
    <t>BOTOL PET 250 ML ORANGE TRANSPARAN MICELLAR</t>
  </si>
  <si>
    <t>BJ04279</t>
  </si>
  <si>
    <t>BOTOL PET 250 ML NATURAL (ROUND) (23.75 GR)</t>
  </si>
  <si>
    <t>WI02616</t>
  </si>
  <si>
    <t>BOTOL PET 250 ML KUNING YUZU</t>
  </si>
  <si>
    <t>BJ03391</t>
  </si>
  <si>
    <t>BOTOL PET 250 ML KUNING (ROUND) (23.75 GR)</t>
  </si>
  <si>
    <t>BJ03376</t>
  </si>
  <si>
    <t>BOTOL PET 250 ML HITAM (ROUND) (23 g)</t>
  </si>
  <si>
    <t>BJ06038</t>
  </si>
  <si>
    <t>BOTOL PET 250 ML HITAM</t>
  </si>
  <si>
    <t>BJ03389</t>
  </si>
  <si>
    <t>BOTOL PET 250 ML BIRU (ROUND)</t>
  </si>
  <si>
    <t>BJ04665</t>
  </si>
  <si>
    <t>BOTOL PET 250 ML AMBER TUA</t>
  </si>
  <si>
    <t>BJ04511</t>
  </si>
  <si>
    <t>BOTOL PET 250 ML AMBER</t>
  </si>
  <si>
    <t>BJ03843</t>
  </si>
  <si>
    <t>BOTOL PET 250 ML ABU - ABU (ROUND)</t>
  </si>
  <si>
    <t>WI02907</t>
  </si>
  <si>
    <t>BOTOL PET 125 ML SUMMER HIJAU</t>
  </si>
  <si>
    <t>BJ05833</t>
  </si>
  <si>
    <t>BOTOL PET 120 ML PUTIH</t>
  </si>
  <si>
    <t>BJ05428</t>
  </si>
  <si>
    <t>BOTOL PET 120 ML NATURAL</t>
  </si>
  <si>
    <t>BJ06039</t>
  </si>
  <si>
    <t>BOTOL PET 120 ML HITAM SOLID</t>
  </si>
  <si>
    <t>BJ05671</t>
  </si>
  <si>
    <t>BOTOL PET 120 ML HIJAU</t>
  </si>
  <si>
    <t>BJ06259</t>
  </si>
  <si>
    <t>BOTOL PET 100ml UNGU SCARLETT</t>
  </si>
  <si>
    <t>BJ04789</t>
  </si>
  <si>
    <t>BOTOL PET 100ml PINK SCARLETT</t>
  </si>
  <si>
    <t>BJ05391</t>
  </si>
  <si>
    <t>BOTOL PET 100ML MAGGI</t>
  </si>
  <si>
    <t>BJ06131</t>
  </si>
  <si>
    <t>BOTOL PET 1000 ML NATURAL KOTAK</t>
  </si>
  <si>
    <t>WI02600</t>
  </si>
  <si>
    <t>BOTOL PET 1000 ML NATURAL</t>
  </si>
  <si>
    <t>BJ05756</t>
  </si>
  <si>
    <t>BOTOL PET 100 ROUND TINGGI PUTIH</t>
  </si>
  <si>
    <t>WI02685</t>
  </si>
  <si>
    <t>BOTOL PET 100 ROUND TINGGI NATURAL</t>
  </si>
  <si>
    <t>BJ05757</t>
  </si>
  <si>
    <t>BOTOL PET 100 ROUND TINGGI BIRU</t>
  </si>
  <si>
    <t>BJ05754</t>
  </si>
  <si>
    <t>BOTOL PET 100 ROUND TINGGI - NATURAL</t>
  </si>
  <si>
    <t>WI02955</t>
  </si>
  <si>
    <t xml:space="preserve">BOTOL PET 100 ROUND PINK ROSE </t>
  </si>
  <si>
    <t>WI02953</t>
  </si>
  <si>
    <t>BOTOL PET 100 ROUND KUNING YUZU</t>
  </si>
  <si>
    <t>BJ06297</t>
  </si>
  <si>
    <t>BOTOL PET 100 ROUND FLAT- UNGU SOLID</t>
  </si>
  <si>
    <t>BJ05308</t>
  </si>
  <si>
    <t>BOTOL PET 100 ROUND FLAT- NATURAL</t>
  </si>
  <si>
    <t>BJ04490</t>
  </si>
  <si>
    <t>BOTOL PET 100 ROUND FLAT NATURAL</t>
  </si>
  <si>
    <t>WI02839</t>
  </si>
  <si>
    <t>BOTOL PET 100 ROUND FLAT BIRU</t>
  </si>
  <si>
    <t>WI02384</t>
  </si>
  <si>
    <t>BOTOL PET 100 ROUND - UNGU</t>
  </si>
  <si>
    <t>BJ03193</t>
  </si>
  <si>
    <t>BOTOL PET 100 ROUND - PUTIH</t>
  </si>
  <si>
    <t>BJ06124</t>
  </si>
  <si>
    <t>BOTOL PET 100 ROUND - PINK SOLID</t>
  </si>
  <si>
    <t>BJ05745</t>
  </si>
  <si>
    <t>BOTOL PET 100 ROUND - PINK SOFT</t>
  </si>
  <si>
    <t>BJ03192</t>
  </si>
  <si>
    <t>BOTOL PET 100 ROUND - NATURAL</t>
  </si>
  <si>
    <t>WI02951</t>
  </si>
  <si>
    <t>BOTOL PET 100 ML TINGGI ORANGE</t>
  </si>
  <si>
    <t>BJ03804</t>
  </si>
  <si>
    <t>BOTOL PET 100 ML ROUND FLAT PUTIH</t>
  </si>
  <si>
    <t>BJ04646</t>
  </si>
  <si>
    <t>BOTOL PET 100 ML ROUND FLAT HITAM</t>
  </si>
  <si>
    <t>BJ05721</t>
  </si>
  <si>
    <t>BOTOL PET 100 ML ROUND FLAT HIJAU TRANS</t>
  </si>
  <si>
    <t>BJ05732</t>
  </si>
  <si>
    <t>BOTOL PET 100 ML ROUND COKLATBURGUNDY</t>
  </si>
  <si>
    <t>WI02420</t>
  </si>
  <si>
    <t>BOTOL PET 100 ML PUTIH</t>
  </si>
  <si>
    <t>WI02672</t>
  </si>
  <si>
    <t>BOTOL PET 100 ML PINK TRANSPARAN B ERL</t>
  </si>
  <si>
    <t>WI02140</t>
  </si>
  <si>
    <t>BOTOL PET 100 ML PINK TRANSPARAN</t>
  </si>
  <si>
    <t>BJ05998</t>
  </si>
  <si>
    <t>BOTOL PET 100 ML PINK SOLID PEARL</t>
  </si>
  <si>
    <t>WI02282</t>
  </si>
  <si>
    <t>BOTOL PET 100 ML ORANGE TRANSPARAN (Micellar)</t>
  </si>
  <si>
    <t>BJ06495</t>
  </si>
  <si>
    <t>BOTOL OVAL PUTIH 500 ML (A) [WHITE INC] W44g</t>
  </si>
  <si>
    <t>BJ06437</t>
  </si>
  <si>
    <t>BOTOL NPURE 80 ML HIJAU</t>
  </si>
  <si>
    <t>BJ05773</t>
  </si>
  <si>
    <t>BOTOL NPURE 30ML HIJAU</t>
  </si>
  <si>
    <t>BJ05763</t>
  </si>
  <si>
    <t>BOTOL NPURE 150ml HIJAU</t>
  </si>
  <si>
    <t>WI02861</t>
  </si>
  <si>
    <t>BOTOL MINOSEP 60ML PUTIH</t>
  </si>
  <si>
    <t>WI02862</t>
  </si>
  <si>
    <t>BOTOL MINOSEP 60ML MERAH</t>
  </si>
  <si>
    <t>WI03117</t>
  </si>
  <si>
    <t>BOTOL MINOSEP 130 ML PUTIH</t>
  </si>
  <si>
    <t>BJ06074</t>
  </si>
  <si>
    <t>BOTOL MADU TJ 150ml NAT (7-10 CAV)</t>
  </si>
  <si>
    <t>BJ05018</t>
  </si>
  <si>
    <t xml:space="preserve">BOTOL MADU TJ 150ml AMBER </t>
  </si>
  <si>
    <t>BJ05082</t>
  </si>
  <si>
    <t>BOTOL MADU TJ 150 NATURAL (11-16 CAV)</t>
  </si>
  <si>
    <t>BJ05995</t>
  </si>
  <si>
    <t>BOTOL MADU PET 250 GRAM NATURAL</t>
  </si>
  <si>
    <t>BJ05996</t>
  </si>
  <si>
    <t>BOTOL MADU PET 250 GRAM AMBER (CAV 07)</t>
  </si>
  <si>
    <t>BJ04208</t>
  </si>
  <si>
    <t>BOTOL MADU PET 250 GRAM (Polos)</t>
  </si>
  <si>
    <t>BJ03508</t>
  </si>
  <si>
    <t>BOTOL MADU PET 250 GRAM</t>
  </si>
  <si>
    <t>BJ03670</t>
  </si>
  <si>
    <t>BOTOL MADU PET 150 GRAM (Polos)</t>
  </si>
  <si>
    <t>BJ03495</t>
  </si>
  <si>
    <t>BOTOL MADU PET 150 GRAM (Cav 07 - 10)</t>
  </si>
  <si>
    <t>BJ05787</t>
  </si>
  <si>
    <t>Botol Madu PET 150 g Natural (Cav 01 - 04)</t>
  </si>
  <si>
    <t>BJ05786</t>
  </si>
  <si>
    <t>Botol Madu PET 150 g Amber (Cav 01 - 04)</t>
  </si>
  <si>
    <t>BJ06397</t>
  </si>
  <si>
    <t>BOTOL LUCIDO 50ML PINK</t>
  </si>
  <si>
    <t>BJ06399</t>
  </si>
  <si>
    <t>BOTOL LUCIDO 50ML ORANGE</t>
  </si>
  <si>
    <t>BJ06398</t>
  </si>
  <si>
    <t>BOTOL LUCIDO 50ML KUNING</t>
  </si>
  <si>
    <t>BJ05581</t>
  </si>
  <si>
    <t>BOTOL LOVILEA PINK</t>
  </si>
  <si>
    <t>BJ06496</t>
  </si>
  <si>
    <t>BOTOL FC WASH SCARLETT 100 ML KUNING EMBOSS</t>
  </si>
  <si>
    <t>WI02314</t>
  </si>
  <si>
    <t>BOTOL DERMYTHOL BODY WASH 480ML AMBER</t>
  </si>
  <si>
    <t>BJ04824</t>
  </si>
  <si>
    <t>Botol Body Wash Mint + Yuzu Biodef</t>
  </si>
  <si>
    <t>BJ04823</t>
  </si>
  <si>
    <t>Botol Body Wash Mint + Sea Salt Biodef</t>
  </si>
  <si>
    <t>BJ04822</t>
  </si>
  <si>
    <t>Botol Body Wash Mint + Green Tea Biodef. </t>
  </si>
  <si>
    <t>WI03111</t>
  </si>
  <si>
    <t>BOTOL BODY SERUM 250 ML NATURAL</t>
  </si>
  <si>
    <t>BJ05131</t>
  </si>
  <si>
    <t>Botol Body Serum 250 ml</t>
  </si>
  <si>
    <t>BJ05130</t>
  </si>
  <si>
    <t>Botol Body Cream 300 ml</t>
  </si>
  <si>
    <t>BJ06196</t>
  </si>
  <si>
    <t>BOTOL BLANC DANDELION 125 ML BIRU TRANS</t>
  </si>
  <si>
    <t>360/180</t>
  </si>
  <si>
    <t>WI02476</t>
  </si>
  <si>
    <t>BOTOL BLANC 125 ML NATURAL 23 GR</t>
  </si>
  <si>
    <t xml:space="preserve">   </t>
  </si>
  <si>
    <t>BJ06266</t>
  </si>
  <si>
    <t>BOTOL BLANC 125 ML HIJAU CICA 23 GR</t>
  </si>
  <si>
    <t>WI01326</t>
  </si>
  <si>
    <t>BOTOL BLANC 125 ML BIRU TRANS 23.5</t>
  </si>
  <si>
    <t>BJ05898</t>
  </si>
  <si>
    <t>BOTOL ADMIRE 240 ML PINK N33 240 ML W 26 G</t>
  </si>
  <si>
    <t>BJ05897</t>
  </si>
  <si>
    <t>BOTOL ADMIRE 240 ML HIJAU N33</t>
  </si>
  <si>
    <t>BJ05896</t>
  </si>
  <si>
    <t>BOTOL ADMIRE 240 ML BIRU NECK 33 W 26 G ACNEDERM</t>
  </si>
  <si>
    <t>BJ05899</t>
  </si>
  <si>
    <t>BOTOL ADMIRE 240 ML BIRU KODE A</t>
  </si>
  <si>
    <t>BJ06294</t>
  </si>
  <si>
    <t>BOTOL ADMIRE 240 ML BIRU ACNERDERM</t>
  </si>
  <si>
    <t>BJ04828</t>
  </si>
  <si>
    <t>BOTOL 30 ML PET CLEAR EMBOSS SCARLETT</t>
  </si>
  <si>
    <t>BJ04873</t>
  </si>
  <si>
    <t>BOTOL 250 ML SHAMPOO WITH EMBOSS SCARLETT</t>
  </si>
  <si>
    <t>BJ06602</t>
  </si>
  <si>
    <t>Botol PET 60 ml Natural Neck 37 [15 gr]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</si>
</sst>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0" fillId="0" borderId="9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0" fontId="3" fillId="2" borderId="0" xfId="0" applyFont="1" applyFill="1"/>
    <xf numFmtId="0" fontId="0" fillId="0" borderId="0" xfId="0" applyAlignment="1">
      <alignment vertical="center"/>
    </xf>
    <xf numFmtId="0" fontId="1" fillId="0" borderId="6" xfId="0" applyFont="1" applyBorder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46"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" formatCode="0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92DEC-2585-4109-A1F1-2EF12125CA1C}" name="Table2" displayName="Table2" ref="A1:J403" totalsRowShown="0" headerRowDxfId="44">
  <autoFilter ref="A1:J403" xr:uid="{7E2C5431-D361-4DDB-9609-BF2551C520F5}"/>
  <tableColumns count="10">
    <tableColumn id="1" xr3:uid="{06F61CE1-EF88-414C-86E7-DE9DD7E60C06}" name="KODE_x000a_BARANG"/>
    <tableColumn id="2" xr3:uid="{F173891B-845D-4819-A20C-F1AE62B85CBB}" name="PRODUK"/>
    <tableColumn id="3" xr3:uid="{34FC7AB4-FF92-4D86-AE46-F46F9FACD6C9}" name="JENIS BAHAN" dataDxfId="43"/>
    <tableColumn id="4" xr3:uid="{C937863F-F090-4F4D-9A55-5C702EB5372D}" name="STANDAR PACKING" dataDxfId="42"/>
    <tableColumn id="5" xr3:uid="{F56168A5-A988-4A44-BC3F-CF7ED174EB7F}" name="BRT _x000a_PROD" dataDxfId="41"/>
    <tableColumn id="6" xr3:uid="{E81712BB-63C0-463B-9D00-41CA1F9451F3}" name="CT" dataDxfId="40"/>
    <tableColumn id="7" xr3:uid="{154F69F2-DE63-4516-BFA8-458FEC2B0204}" name="CAV" dataDxfId="39"/>
    <tableColumn id="8" xr3:uid="{8EE91A86-8A64-481F-8B07-F5C7A3B371C5}" name="TARGET HARI" dataDxfId="38"/>
    <tableColumn id="9" xr3:uid="{27764753-E18D-44F7-8CF9-A347E501A070}" name="TARGET SHIFT" dataDxfId="37"/>
    <tableColumn id="11" xr3:uid="{4D9F80A1-6DD2-42CD-A9D4-0C2FE1A2D73D}" name="VALUE" dataDxfId="3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296285-48C9-4374-8C5C-E037ED11DE3B}" name="Table145" displayName="Table145" ref="L1:R30" totalsRowShown="0" headerRowDxfId="35" dataDxfId="34" headerRowBorderDxfId="32" tableBorderDxfId="33" totalsRowBorderDxfId="31">
  <autoFilter ref="L1:R30" xr:uid="{5918C4CF-9FAB-4F79-926E-7851FAA64185}">
    <filterColumn colId="5">
      <filters>
        <filter val="Non PET"/>
      </filters>
    </filterColumn>
  </autoFilter>
  <tableColumns count="7">
    <tableColumn id="1" xr3:uid="{873E10BD-19D1-4761-AB60-A7ED35A4FE1E}" name="NO MESIN" dataDxfId="30"/>
    <tableColumn id="2" xr3:uid="{FCCB68CD-2B7A-472D-9855-4FA07491BAF7}" name="KAPASITAS MESIN" dataDxfId="29"/>
    <tableColumn id="3" xr3:uid="{A6194332-370C-40E1-9CB2-9AFE848F9DC2}" name="MEREK" dataDxfId="28"/>
    <tableColumn id="4" xr3:uid="{50DC3687-45A8-416E-8436-DD32E3096B15}" name="TAHUN" dataDxfId="27"/>
    <tableColumn id="5" xr3:uid="{B9D29C37-788F-40EB-9FAE-D3CB0171FEC8}" name="NO SERI" dataDxfId="26"/>
    <tableColumn id="6" xr3:uid="{9A458A4F-5384-43B3-ACE7-0E7DE4F13616}" name="JENIS MESIN" dataDxfId="25"/>
    <tableColumn id="7" xr3:uid="{1726BCA9-9405-4CBF-BC9C-9E53ED6EEE3D}" name="KET" dataDxfId="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DEE7AB-F9E9-4A57-B9AA-CED4D338C6E6}" name="Table22" displayName="Table22" ref="A1:J226" totalsRowShown="0" headerRowDxfId="21" dataDxfId="20">
  <autoFilter ref="A1:J226" xr:uid="{7E2C5431-D361-4DDB-9609-BF2551C520F5}">
    <filterColumn colId="0">
      <filters>
        <filter val="BJ05082"/>
      </filters>
    </filterColumn>
  </autoFilter>
  <tableColumns count="10">
    <tableColumn id="1" xr3:uid="{9C6FB71A-8649-4272-921B-17D463F6B127}" name="KODE_x000a_BARANG" dataDxfId="19"/>
    <tableColumn id="2" xr3:uid="{C63E124F-57CF-45AE-8BEF-3D138BB12F20}" name="PRODUK" dataDxfId="18"/>
    <tableColumn id="3" xr3:uid="{9ECD016F-F967-4AEE-B174-0F00D884FB93}" name="JENIS BAHAN" dataDxfId="17"/>
    <tableColumn id="4" xr3:uid="{587499D8-0326-4121-952E-A59648FAAF2B}" name="STANDAR PACKING" dataDxfId="16"/>
    <tableColumn id="5" xr3:uid="{B8FE9F6B-1BE4-4202-BCCD-B2BD8D4B5B4E}" name="BRT _x000a_PROD" dataDxfId="15"/>
    <tableColumn id="6" xr3:uid="{72C3D31B-074E-48DF-94E6-C5E84021D951}" name="CT" dataDxfId="14"/>
    <tableColumn id="7" xr3:uid="{6B44FBA0-8806-4276-AF2A-8FEBEDCF7294}" name="CAV" dataDxfId="13"/>
    <tableColumn id="8" xr3:uid="{11E3E2DE-4F86-43B9-8CFC-828368BAF37C}" name="TARGET HARI" dataDxfId="12"/>
    <tableColumn id="9" xr3:uid="{E63DDE05-1604-47FB-BBF3-BE47A6E492C4}" name="TARGET SHIFT" dataDxfId="11"/>
    <tableColumn id="11" xr3:uid="{F737A98B-F36F-41EF-BC3C-4034A986B18E}" name="VALUE" dataDxfId="1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474EDA-2D14-4CBB-BF55-9347B74D5857}" name="Table16" displayName="Table16" ref="L1:P30" totalsRowShown="0" headerRowDxfId="9" dataDxfId="8" headerRowBorderDxfId="6" tableBorderDxfId="7" totalsRowBorderDxfId="5">
  <autoFilter ref="L1:P30" xr:uid="{58B30B49-D505-4BB6-9AD5-1A09370CADE7}"/>
  <tableColumns count="5">
    <tableColumn id="1" xr3:uid="{6554DB60-B14D-419D-94AD-80D4B2A07CCB}" name="NO MESIN" dataDxfId="4"/>
    <tableColumn id="2" xr3:uid="{D2073069-8B7F-4D96-93E1-ADA7BC92F8A2}" name="KAPASITAS MESIN" dataDxfId="3"/>
    <tableColumn id="3" xr3:uid="{9B397B17-A0EE-477E-8981-8F0183992304}" name="MEREK" dataDxfId="2"/>
    <tableColumn id="4" xr3:uid="{32A982D8-1F70-49F9-922C-75A5037AC18C}" name="TAHUN" dataDxfId="1"/>
    <tableColumn id="5" xr3:uid="{3A858B6D-CB8C-4126-8910-1125EB30934A}" name="NO SER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FD68-5DD5-44B1-8BA6-7A1F74C6D07F}">
  <dimension ref="A1:R403"/>
  <sheetViews>
    <sheetView zoomScale="85" zoomScaleNormal="85" workbookViewId="0">
      <selection activeCell="B192" sqref="B192"/>
    </sheetView>
  </sheetViews>
  <sheetFormatPr defaultRowHeight="14.25"/>
  <cols>
    <col min="1" max="1" width="12.375" bestFit="1" customWidth="1"/>
    <col min="2" max="2" width="49.625" customWidth="1"/>
    <col min="3" max="3" width="16.375" style="6" customWidth="1"/>
    <col min="4" max="4" width="10.875" style="7" customWidth="1"/>
    <col min="5" max="5" width="10.375" style="6" bestFit="1" customWidth="1"/>
    <col min="6" max="6" width="7.375" style="6" bestFit="1" customWidth="1"/>
    <col min="7" max="7" width="8.375" style="6" bestFit="1" customWidth="1"/>
    <col min="8" max="8" width="17" style="6" bestFit="1" customWidth="1"/>
    <col min="9" max="9" width="18" style="6" bestFit="1" customWidth="1"/>
    <col min="12" max="12" width="12.125" style="18" customWidth="1"/>
    <col min="13" max="13" width="15.25" style="18" customWidth="1"/>
    <col min="14" max="14" width="9.625" style="18" customWidth="1"/>
    <col min="15" max="15" width="13.625" style="18" customWidth="1"/>
    <col min="16" max="16" width="18.875" style="19" customWidth="1"/>
  </cols>
  <sheetData>
    <row r="1" spans="1:18" s="1" customFormat="1" ht="38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3" t="s">
        <v>15</v>
      </c>
      <c r="R1" s="5" t="s">
        <v>16</v>
      </c>
    </row>
    <row r="2" spans="1:18">
      <c r="A2" t="s">
        <v>17</v>
      </c>
      <c r="B2" t="s">
        <v>18</v>
      </c>
      <c r="C2" s="6" t="s">
        <v>19</v>
      </c>
      <c r="D2" s="6">
        <v>1170</v>
      </c>
      <c r="E2" s="6">
        <v>5.5</v>
      </c>
      <c r="F2" s="6">
        <v>22</v>
      </c>
      <c r="G2" s="6">
        <v>13</v>
      </c>
      <c r="H2" s="7">
        <f>(3600/Table2[[#This Row],[CT]])*G2*24</f>
        <v>51054.545454545449</v>
      </c>
      <c r="I2" s="7">
        <f>Table2[[#This Row],[TARGET HARI]]/3</f>
        <v>17018.181818181816</v>
      </c>
      <c r="J2" s="6"/>
      <c r="L2" s="8" t="s">
        <v>20</v>
      </c>
      <c r="M2" s="8">
        <v>220</v>
      </c>
      <c r="N2" s="8" t="s">
        <v>21</v>
      </c>
      <c r="O2" s="9">
        <v>41429</v>
      </c>
      <c r="P2" s="10" t="s">
        <v>22</v>
      </c>
      <c r="Q2" s="8" t="s">
        <v>23</v>
      </c>
      <c r="R2" s="11" t="s">
        <v>24</v>
      </c>
    </row>
    <row r="3" spans="1:18">
      <c r="A3" t="s">
        <v>25</v>
      </c>
      <c r="B3" t="s">
        <v>26</v>
      </c>
      <c r="C3" s="6" t="s">
        <v>19</v>
      </c>
      <c r="D3" s="6">
        <v>540</v>
      </c>
      <c r="E3" s="6">
        <v>26</v>
      </c>
      <c r="F3" s="6">
        <v>33</v>
      </c>
      <c r="G3" s="6">
        <v>8</v>
      </c>
      <c r="H3" s="7">
        <f>(3600/Table2[[#This Row],[CT]])*G3*24</f>
        <v>20945.454545454544</v>
      </c>
      <c r="I3" s="7">
        <f>Table2[[#This Row],[TARGET HARI]]/3</f>
        <v>6981.8181818181811</v>
      </c>
      <c r="J3" s="6"/>
      <c r="L3" s="8" t="s">
        <v>27</v>
      </c>
      <c r="M3" s="8">
        <v>200</v>
      </c>
      <c r="N3" s="8" t="s">
        <v>28</v>
      </c>
      <c r="O3" s="12" t="s">
        <v>29</v>
      </c>
      <c r="P3" s="10" t="s">
        <v>30</v>
      </c>
      <c r="Q3" s="8" t="s">
        <v>31</v>
      </c>
      <c r="R3" s="8"/>
    </row>
    <row r="4" spans="1:18">
      <c r="A4" t="s">
        <v>32</v>
      </c>
      <c r="B4" t="s">
        <v>33</v>
      </c>
      <c r="C4" s="6" t="s">
        <v>19</v>
      </c>
      <c r="D4" s="6">
        <v>540</v>
      </c>
      <c r="E4" s="6">
        <v>26</v>
      </c>
      <c r="F4" s="6">
        <v>30</v>
      </c>
      <c r="G4" s="6">
        <v>8</v>
      </c>
      <c r="H4" s="7">
        <f>(3600/Table2[[#This Row],[CT]])*G4*24</f>
        <v>23040</v>
      </c>
      <c r="I4" s="7">
        <f>Table2[[#This Row],[TARGET HARI]]/3</f>
        <v>7680</v>
      </c>
      <c r="J4" s="6"/>
      <c r="L4" s="8" t="s">
        <v>34</v>
      </c>
      <c r="M4" s="8">
        <v>200</v>
      </c>
      <c r="N4" s="8" t="s">
        <v>28</v>
      </c>
      <c r="O4" s="8" t="s">
        <v>35</v>
      </c>
      <c r="P4" s="10" t="s">
        <v>36</v>
      </c>
      <c r="Q4" s="8" t="s">
        <v>31</v>
      </c>
      <c r="R4" s="8"/>
    </row>
    <row r="5" spans="1:18">
      <c r="A5" t="s">
        <v>37</v>
      </c>
      <c r="B5" t="s">
        <v>38</v>
      </c>
      <c r="C5" s="6" t="s">
        <v>19</v>
      </c>
      <c r="D5" s="6">
        <v>1000</v>
      </c>
      <c r="E5" s="6">
        <v>17.5</v>
      </c>
      <c r="F5" s="6">
        <v>30</v>
      </c>
      <c r="G5" s="6">
        <v>8</v>
      </c>
      <c r="H5" s="7">
        <f>(3600/Table2[[#This Row],[CT]])*G5*24</f>
        <v>23040</v>
      </c>
      <c r="I5" s="7">
        <f>Table2[[#This Row],[TARGET HARI]]/3</f>
        <v>7680</v>
      </c>
      <c r="J5" s="6"/>
      <c r="L5" s="8" t="s">
        <v>39</v>
      </c>
      <c r="M5" s="8">
        <v>200</v>
      </c>
      <c r="N5" s="8" t="s">
        <v>28</v>
      </c>
      <c r="O5" s="8" t="s">
        <v>29</v>
      </c>
      <c r="P5" s="10" t="s">
        <v>40</v>
      </c>
      <c r="Q5" s="8" t="s">
        <v>31</v>
      </c>
      <c r="R5" s="8"/>
    </row>
    <row r="6" spans="1:18">
      <c r="A6" t="s">
        <v>41</v>
      </c>
      <c r="B6" t="s">
        <v>42</v>
      </c>
      <c r="C6" s="6" t="s">
        <v>19</v>
      </c>
      <c r="D6" s="6">
        <v>1170</v>
      </c>
      <c r="E6" s="6">
        <v>16</v>
      </c>
      <c r="F6" s="6">
        <v>30</v>
      </c>
      <c r="G6" s="6">
        <v>16</v>
      </c>
      <c r="H6" s="7">
        <f>(3600/Table2[[#This Row],[CT]])*G6*24</f>
        <v>46080</v>
      </c>
      <c r="I6" s="7">
        <f>Table2[[#This Row],[TARGET HARI]]/3</f>
        <v>15360</v>
      </c>
      <c r="J6" s="6"/>
      <c r="L6" s="8" t="s">
        <v>43</v>
      </c>
      <c r="M6" s="8">
        <v>260</v>
      </c>
      <c r="N6" s="8" t="s">
        <v>28</v>
      </c>
      <c r="O6" s="8" t="s">
        <v>44</v>
      </c>
      <c r="P6" s="10" t="s">
        <v>45</v>
      </c>
      <c r="Q6" s="8" t="s">
        <v>31</v>
      </c>
      <c r="R6" s="8"/>
    </row>
    <row r="7" spans="1:18">
      <c r="A7" t="s">
        <v>46</v>
      </c>
      <c r="B7" t="s">
        <v>47</v>
      </c>
      <c r="C7" s="6" t="s">
        <v>19</v>
      </c>
      <c r="D7" s="6">
        <v>1170</v>
      </c>
      <c r="E7" s="6">
        <v>20</v>
      </c>
      <c r="F7" s="6">
        <v>30</v>
      </c>
      <c r="G7" s="6">
        <v>16</v>
      </c>
      <c r="H7" s="7">
        <f>(3600/Table2[[#This Row],[CT]])*G7*24</f>
        <v>46080</v>
      </c>
      <c r="I7" s="7">
        <f>Table2[[#This Row],[TARGET HARI]]/3</f>
        <v>15360</v>
      </c>
      <c r="J7" s="6"/>
      <c r="L7" s="8" t="s">
        <v>48</v>
      </c>
      <c r="M7" s="8">
        <v>250</v>
      </c>
      <c r="N7" s="8" t="s">
        <v>49</v>
      </c>
      <c r="O7" s="8" t="s">
        <v>50</v>
      </c>
      <c r="P7" s="10">
        <v>202011025052040</v>
      </c>
      <c r="Q7" s="8" t="s">
        <v>31</v>
      </c>
      <c r="R7" s="8"/>
    </row>
    <row r="8" spans="1:18">
      <c r="A8" t="s">
        <v>51</v>
      </c>
      <c r="B8" t="s">
        <v>52</v>
      </c>
      <c r="C8" s="6" t="s">
        <v>19</v>
      </c>
      <c r="D8" s="6">
        <v>1170</v>
      </c>
      <c r="E8" s="6">
        <v>20</v>
      </c>
      <c r="F8" s="6">
        <v>30</v>
      </c>
      <c r="G8" s="6">
        <v>16</v>
      </c>
      <c r="H8" s="7">
        <f>(3600/Table2[[#This Row],[CT]])*G8*24</f>
        <v>46080</v>
      </c>
      <c r="I8" s="7">
        <f>Table2[[#This Row],[TARGET HARI]]/3</f>
        <v>15360</v>
      </c>
      <c r="J8" s="6"/>
      <c r="L8" s="13" t="s">
        <v>53</v>
      </c>
      <c r="M8" s="8">
        <v>200</v>
      </c>
      <c r="N8" s="8" t="s">
        <v>49</v>
      </c>
      <c r="O8" s="8" t="s">
        <v>54</v>
      </c>
      <c r="P8" s="14">
        <v>202110020067023</v>
      </c>
      <c r="Q8" s="11" t="s">
        <v>31</v>
      </c>
      <c r="R8" s="8"/>
    </row>
    <row r="9" spans="1:18">
      <c r="A9" t="s">
        <v>55</v>
      </c>
      <c r="B9" t="s">
        <v>56</v>
      </c>
      <c r="C9" s="6" t="s">
        <v>19</v>
      </c>
      <c r="D9" s="6">
        <v>1200</v>
      </c>
      <c r="E9" s="6">
        <v>13</v>
      </c>
      <c r="F9" s="6">
        <v>25</v>
      </c>
      <c r="G9" s="6">
        <v>16</v>
      </c>
      <c r="H9" s="7">
        <f>(3600/Table2[[#This Row],[CT]])*G9*24</f>
        <v>55296</v>
      </c>
      <c r="I9" s="7">
        <f>Table2[[#This Row],[TARGET HARI]]/3</f>
        <v>18432</v>
      </c>
      <c r="J9" s="6"/>
      <c r="L9" s="13" t="s">
        <v>57</v>
      </c>
      <c r="M9" s="8">
        <v>200</v>
      </c>
      <c r="N9" s="8" t="s">
        <v>49</v>
      </c>
      <c r="O9" s="8" t="s">
        <v>58</v>
      </c>
      <c r="P9" s="14">
        <v>202110020067024</v>
      </c>
      <c r="Q9" s="11" t="s">
        <v>23</v>
      </c>
      <c r="R9" s="8"/>
    </row>
    <row r="10" spans="1:18">
      <c r="A10" t="s">
        <v>59</v>
      </c>
      <c r="B10" t="s">
        <v>60</v>
      </c>
      <c r="C10" s="6" t="s">
        <v>19</v>
      </c>
      <c r="D10" s="6">
        <v>540</v>
      </c>
      <c r="E10" s="6">
        <v>35</v>
      </c>
      <c r="F10" s="6">
        <v>27</v>
      </c>
      <c r="G10" s="6">
        <v>8</v>
      </c>
      <c r="H10" s="7">
        <f>(3600/Table2[[#This Row],[CT]])*G10*24</f>
        <v>25600</v>
      </c>
      <c r="I10" s="7">
        <f>Table2[[#This Row],[TARGET HARI]]/3</f>
        <v>8533.3333333333339</v>
      </c>
      <c r="J10" s="6"/>
      <c r="L10" s="13" t="s">
        <v>61</v>
      </c>
      <c r="M10" s="8">
        <v>200</v>
      </c>
      <c r="N10" s="8" t="s">
        <v>28</v>
      </c>
      <c r="O10" s="8" t="s">
        <v>62</v>
      </c>
      <c r="P10" s="14" t="s">
        <v>63</v>
      </c>
      <c r="Q10" s="11" t="s">
        <v>31</v>
      </c>
      <c r="R10" s="8"/>
    </row>
    <row r="11" spans="1:18">
      <c r="A11" t="s">
        <v>64</v>
      </c>
      <c r="B11" t="s">
        <v>65</v>
      </c>
      <c r="C11" s="6" t="s">
        <v>19</v>
      </c>
      <c r="D11" s="6">
        <v>1200</v>
      </c>
      <c r="E11" s="6">
        <v>35</v>
      </c>
      <c r="F11" s="6">
        <v>30</v>
      </c>
      <c r="G11" s="6">
        <v>8</v>
      </c>
      <c r="H11" s="7">
        <f>(3600/Table2[[#This Row],[CT]])*G11*24</f>
        <v>23040</v>
      </c>
      <c r="I11" s="7">
        <f>Table2[[#This Row],[TARGET HARI]]/3</f>
        <v>7680</v>
      </c>
      <c r="J11" s="6"/>
      <c r="L11" s="13" t="s">
        <v>66</v>
      </c>
      <c r="M11" s="8">
        <v>200</v>
      </c>
      <c r="N11" s="8" t="s">
        <v>28</v>
      </c>
      <c r="O11" s="8" t="s">
        <v>62</v>
      </c>
      <c r="P11" s="14" t="s">
        <v>67</v>
      </c>
      <c r="Q11" s="11" t="s">
        <v>23</v>
      </c>
      <c r="R11" s="8"/>
    </row>
    <row r="12" spans="1:18">
      <c r="A12" t="s">
        <v>68</v>
      </c>
      <c r="B12" t="s">
        <v>69</v>
      </c>
      <c r="C12" s="6" t="s">
        <v>19</v>
      </c>
      <c r="D12" s="6">
        <v>1200</v>
      </c>
      <c r="E12" s="6">
        <v>35</v>
      </c>
      <c r="F12" s="6">
        <v>28</v>
      </c>
      <c r="G12" s="6">
        <v>8</v>
      </c>
      <c r="H12" s="7">
        <f>(3600/Table2[[#This Row],[CT]])*G12*24</f>
        <v>24685.71428571429</v>
      </c>
      <c r="I12" s="7">
        <f>Table2[[#This Row],[TARGET HARI]]/3</f>
        <v>8228.5714285714294</v>
      </c>
      <c r="J12" s="6"/>
      <c r="L12" s="13" t="s">
        <v>70</v>
      </c>
      <c r="M12" s="8">
        <v>320</v>
      </c>
      <c r="N12" s="8" t="s">
        <v>28</v>
      </c>
      <c r="O12" s="8" t="s">
        <v>71</v>
      </c>
      <c r="P12" s="14" t="s">
        <v>72</v>
      </c>
      <c r="Q12" s="11" t="s">
        <v>31</v>
      </c>
      <c r="R12" s="8"/>
    </row>
    <row r="13" spans="1:18">
      <c r="A13" t="s">
        <v>73</v>
      </c>
      <c r="B13" t="s">
        <v>74</v>
      </c>
      <c r="C13" s="6" t="s">
        <v>19</v>
      </c>
      <c r="D13" s="6">
        <v>540</v>
      </c>
      <c r="E13" s="6">
        <v>26</v>
      </c>
      <c r="F13" s="6">
        <v>30</v>
      </c>
      <c r="G13" s="6">
        <v>16</v>
      </c>
      <c r="H13" s="7">
        <f>(3600/Table2[[#This Row],[CT]])*G13*24</f>
        <v>46080</v>
      </c>
      <c r="I13" s="7">
        <f>Table2[[#This Row],[TARGET HARI]]/3</f>
        <v>15360</v>
      </c>
      <c r="J13" s="6"/>
      <c r="L13" s="13" t="s">
        <v>75</v>
      </c>
      <c r="M13" s="8">
        <v>200</v>
      </c>
      <c r="N13" s="8" t="s">
        <v>28</v>
      </c>
      <c r="O13" s="8" t="s">
        <v>62</v>
      </c>
      <c r="P13" s="14" t="s">
        <v>76</v>
      </c>
      <c r="Q13" s="11" t="s">
        <v>31</v>
      </c>
      <c r="R13" s="8"/>
    </row>
    <row r="14" spans="1:18">
      <c r="A14" t="s">
        <v>77</v>
      </c>
      <c r="B14" t="s">
        <v>78</v>
      </c>
      <c r="C14" s="6" t="s">
        <v>19</v>
      </c>
      <c r="D14" s="6">
        <v>540</v>
      </c>
      <c r="E14" s="6">
        <v>35</v>
      </c>
      <c r="F14" s="6">
        <v>28</v>
      </c>
      <c r="G14" s="6">
        <v>8</v>
      </c>
      <c r="H14" s="7">
        <f>(3600/Table2[[#This Row],[CT]])*G14*24</f>
        <v>24685.71428571429</v>
      </c>
      <c r="I14" s="7">
        <f>Table2[[#This Row],[TARGET HARI]]/3</f>
        <v>8228.5714285714294</v>
      </c>
      <c r="J14" s="6"/>
      <c r="L14" s="13" t="s">
        <v>79</v>
      </c>
      <c r="M14" s="8">
        <v>250</v>
      </c>
      <c r="N14" s="8" t="s">
        <v>49</v>
      </c>
      <c r="O14" s="9">
        <v>44512</v>
      </c>
      <c r="P14" s="14">
        <v>202111025066843</v>
      </c>
      <c r="Q14" s="11" t="s">
        <v>31</v>
      </c>
      <c r="R14" s="8"/>
    </row>
    <row r="15" spans="1:18">
      <c r="A15" t="s">
        <v>80</v>
      </c>
      <c r="B15" t="s">
        <v>81</v>
      </c>
      <c r="C15" s="6" t="s">
        <v>19</v>
      </c>
      <c r="D15" s="6">
        <v>540</v>
      </c>
      <c r="E15" s="6">
        <v>26</v>
      </c>
      <c r="F15" s="6">
        <v>30</v>
      </c>
      <c r="G15" s="6">
        <v>8</v>
      </c>
      <c r="H15" s="7">
        <f>(3600/Table2[[#This Row],[CT]])*G15*24</f>
        <v>23040</v>
      </c>
      <c r="I15" s="7">
        <f>Table2[[#This Row],[TARGET HARI]]/3</f>
        <v>7680</v>
      </c>
      <c r="J15" s="6"/>
      <c r="L15" s="13" t="s">
        <v>82</v>
      </c>
      <c r="M15" s="8">
        <v>260</v>
      </c>
      <c r="N15" s="8" t="s">
        <v>28</v>
      </c>
      <c r="O15" s="8" t="s">
        <v>83</v>
      </c>
      <c r="P15" s="14" t="s">
        <v>84</v>
      </c>
      <c r="Q15" s="11" t="s">
        <v>23</v>
      </c>
      <c r="R15" s="8"/>
    </row>
    <row r="16" spans="1:18">
      <c r="A16" t="s">
        <v>85</v>
      </c>
      <c r="B16" t="s">
        <v>86</v>
      </c>
      <c r="C16" s="6" t="s">
        <v>19</v>
      </c>
      <c r="D16" s="6">
        <v>1170</v>
      </c>
      <c r="E16" s="6">
        <v>5.5</v>
      </c>
      <c r="F16" s="6">
        <v>22</v>
      </c>
      <c r="H16" s="7">
        <f>(3600/Table2[[#This Row],[CT]])*G16*24</f>
        <v>0</v>
      </c>
      <c r="I16" s="7">
        <f>Table2[[#This Row],[TARGET HARI]]/3</f>
        <v>0</v>
      </c>
      <c r="J16" s="6"/>
      <c r="L16" s="13" t="s">
        <v>87</v>
      </c>
      <c r="M16" s="8">
        <v>260</v>
      </c>
      <c r="N16" s="8" t="s">
        <v>28</v>
      </c>
      <c r="O16" s="8" t="s">
        <v>83</v>
      </c>
      <c r="P16" s="14" t="s">
        <v>88</v>
      </c>
      <c r="Q16" s="11" t="s">
        <v>23</v>
      </c>
      <c r="R16" s="8"/>
    </row>
    <row r="17" spans="1:18">
      <c r="A17" t="s">
        <v>89</v>
      </c>
      <c r="B17" t="s">
        <v>90</v>
      </c>
      <c r="C17" s="6" t="s">
        <v>19</v>
      </c>
      <c r="D17" s="6">
        <v>0</v>
      </c>
      <c r="E17" s="6">
        <v>26</v>
      </c>
      <c r="F17" s="6">
        <v>30</v>
      </c>
      <c r="H17" s="7">
        <f>(3600/Table2[[#This Row],[CT]])*G17*24</f>
        <v>0</v>
      </c>
      <c r="I17" s="7">
        <f>Table2[[#This Row],[TARGET HARI]]/3</f>
        <v>0</v>
      </c>
      <c r="J17" s="6"/>
      <c r="L17" s="13" t="s">
        <v>91</v>
      </c>
      <c r="M17" s="8">
        <v>200</v>
      </c>
      <c r="N17" s="8" t="s">
        <v>28</v>
      </c>
      <c r="O17" s="8" t="s">
        <v>92</v>
      </c>
      <c r="P17" s="14" t="s">
        <v>93</v>
      </c>
      <c r="Q17" s="11" t="s">
        <v>23</v>
      </c>
      <c r="R17" s="8"/>
    </row>
    <row r="18" spans="1:18">
      <c r="A18" t="s">
        <v>94</v>
      </c>
      <c r="B18" t="s">
        <v>95</v>
      </c>
      <c r="C18" s="6" t="s">
        <v>19</v>
      </c>
      <c r="D18" s="6">
        <v>1200</v>
      </c>
      <c r="E18" s="6">
        <v>17</v>
      </c>
      <c r="F18" s="6">
        <v>28</v>
      </c>
      <c r="G18" s="6">
        <v>12</v>
      </c>
      <c r="H18" s="7">
        <f>(3600/Table2[[#This Row],[CT]])*G18*24</f>
        <v>37028.571428571435</v>
      </c>
      <c r="I18" s="7">
        <f>Table2[[#This Row],[TARGET HARI]]/3</f>
        <v>12342.857142857145</v>
      </c>
      <c r="J18" s="6"/>
      <c r="L18" s="13" t="s">
        <v>96</v>
      </c>
      <c r="M18" s="8">
        <v>200</v>
      </c>
      <c r="N18" s="8" t="s">
        <v>28</v>
      </c>
      <c r="O18" s="8" t="s">
        <v>97</v>
      </c>
      <c r="P18" s="14" t="s">
        <v>98</v>
      </c>
      <c r="Q18" s="11" t="s">
        <v>23</v>
      </c>
      <c r="R18" s="8"/>
    </row>
    <row r="19" spans="1:18">
      <c r="A19" t="s">
        <v>99</v>
      </c>
      <c r="B19" t="s">
        <v>100</v>
      </c>
      <c r="C19" s="6" t="s">
        <v>19</v>
      </c>
      <c r="D19" s="6">
        <v>1170</v>
      </c>
      <c r="E19" s="6">
        <v>17</v>
      </c>
      <c r="F19" s="6">
        <v>30</v>
      </c>
      <c r="G19" s="6">
        <v>16</v>
      </c>
      <c r="H19" s="7">
        <f>(3600/Table2[[#This Row],[CT]])*G19*24</f>
        <v>46080</v>
      </c>
      <c r="I19" s="7">
        <f>Table2[[#This Row],[TARGET HARI]]/3</f>
        <v>15360</v>
      </c>
      <c r="J19" s="6"/>
      <c r="L19" s="13" t="s">
        <v>101</v>
      </c>
      <c r="M19" s="8">
        <v>2000</v>
      </c>
      <c r="N19" s="8" t="s">
        <v>102</v>
      </c>
      <c r="O19" s="8" t="s">
        <v>103</v>
      </c>
      <c r="P19" s="14" t="s">
        <v>104</v>
      </c>
      <c r="Q19" s="8" t="s">
        <v>105</v>
      </c>
      <c r="R19" s="8"/>
    </row>
    <row r="20" spans="1:18">
      <c r="A20" t="s">
        <v>106</v>
      </c>
      <c r="B20" t="s">
        <v>107</v>
      </c>
      <c r="C20" s="6" t="s">
        <v>19</v>
      </c>
      <c r="D20" s="6">
        <v>540</v>
      </c>
      <c r="E20" s="6">
        <v>35</v>
      </c>
      <c r="F20" s="6">
        <v>30</v>
      </c>
      <c r="G20" s="6">
        <v>8</v>
      </c>
      <c r="H20" s="7">
        <f>(3600/Table2[[#This Row],[CT]])*G20*24</f>
        <v>23040</v>
      </c>
      <c r="I20" s="7">
        <f>Table2[[#This Row],[TARGET HARI]]/3</f>
        <v>7680</v>
      </c>
      <c r="J20" s="6"/>
      <c r="L20" s="13" t="s">
        <v>108</v>
      </c>
      <c r="M20" s="8">
        <v>2000</v>
      </c>
      <c r="N20" s="8" t="s">
        <v>109</v>
      </c>
      <c r="O20" s="8" t="s">
        <v>110</v>
      </c>
      <c r="P20" s="14">
        <v>202016</v>
      </c>
      <c r="Q20" s="8" t="s">
        <v>105</v>
      </c>
      <c r="R20" s="8"/>
    </row>
    <row r="21" spans="1:18">
      <c r="A21" t="s">
        <v>111</v>
      </c>
      <c r="B21" t="s">
        <v>112</v>
      </c>
      <c r="C21" s="6" t="s">
        <v>19</v>
      </c>
      <c r="D21" s="6">
        <v>1170</v>
      </c>
      <c r="E21" s="6">
        <v>7.5</v>
      </c>
      <c r="F21" s="6">
        <v>26</v>
      </c>
      <c r="G21" s="6">
        <v>16</v>
      </c>
      <c r="H21" s="7">
        <f>(3600/Table2[[#This Row],[CT]])*G21*24</f>
        <v>53169.230769230766</v>
      </c>
      <c r="I21" s="7">
        <f>Table2[[#This Row],[TARGET HARI]]/3</f>
        <v>17723.076923076922</v>
      </c>
      <c r="J21" s="6"/>
      <c r="L21" s="13" t="s">
        <v>113</v>
      </c>
      <c r="M21" s="8">
        <v>2000</v>
      </c>
      <c r="N21" s="8" t="s">
        <v>109</v>
      </c>
      <c r="O21" s="8" t="s">
        <v>35</v>
      </c>
      <c r="P21" s="14">
        <v>201672</v>
      </c>
      <c r="Q21" s="8" t="s">
        <v>105</v>
      </c>
      <c r="R21" s="8"/>
    </row>
    <row r="22" spans="1:18">
      <c r="A22" t="s">
        <v>114</v>
      </c>
      <c r="B22" t="s">
        <v>115</v>
      </c>
      <c r="C22" s="6" t="s">
        <v>19</v>
      </c>
      <c r="D22" s="6">
        <v>64</v>
      </c>
      <c r="E22" s="6">
        <v>44</v>
      </c>
      <c r="F22" s="6">
        <v>30</v>
      </c>
      <c r="G22" s="6">
        <v>8</v>
      </c>
      <c r="H22" s="7">
        <f>(3600/Table2[[#This Row],[CT]])*G22*24</f>
        <v>23040</v>
      </c>
      <c r="I22" s="7">
        <f>Table2[[#This Row],[TARGET HARI]]/3</f>
        <v>7680</v>
      </c>
      <c r="J22" s="6"/>
      <c r="L22" s="13" t="s">
        <v>116</v>
      </c>
      <c r="M22" s="8">
        <v>4000</v>
      </c>
      <c r="N22" s="8" t="s">
        <v>109</v>
      </c>
      <c r="O22" s="8" t="s">
        <v>29</v>
      </c>
      <c r="P22" s="14">
        <v>201773</v>
      </c>
      <c r="Q22" s="8" t="s">
        <v>105</v>
      </c>
      <c r="R22" s="8"/>
    </row>
    <row r="23" spans="1:18">
      <c r="A23" t="s">
        <v>117</v>
      </c>
      <c r="B23" t="s">
        <v>118</v>
      </c>
      <c r="C23" s="6" t="s">
        <v>19</v>
      </c>
      <c r="D23" s="6">
        <v>1000</v>
      </c>
      <c r="E23" s="6">
        <v>27</v>
      </c>
      <c r="F23" s="6">
        <v>30</v>
      </c>
      <c r="G23" s="6">
        <v>16</v>
      </c>
      <c r="H23" s="7">
        <f>(3600/Table2[[#This Row],[CT]])*G23*24</f>
        <v>46080</v>
      </c>
      <c r="I23" s="7">
        <f>Table2[[#This Row],[TARGET HARI]]/3</f>
        <v>15360</v>
      </c>
      <c r="J23" s="6"/>
      <c r="L23" s="13" t="s">
        <v>119</v>
      </c>
      <c r="M23" s="8">
        <v>4000</v>
      </c>
      <c r="N23" s="8" t="s">
        <v>109</v>
      </c>
      <c r="O23" s="8" t="s">
        <v>110</v>
      </c>
      <c r="P23" s="14">
        <v>202055</v>
      </c>
      <c r="Q23" s="8" t="s">
        <v>105</v>
      </c>
      <c r="R23" s="8"/>
    </row>
    <row r="24" spans="1:18">
      <c r="A24" t="s">
        <v>120</v>
      </c>
      <c r="B24" t="s">
        <v>121</v>
      </c>
      <c r="C24" s="6" t="s">
        <v>19</v>
      </c>
      <c r="D24" s="6">
        <v>1000</v>
      </c>
      <c r="E24" s="6">
        <v>27</v>
      </c>
      <c r="F24" s="6">
        <v>30</v>
      </c>
      <c r="G24" s="6">
        <v>16</v>
      </c>
      <c r="H24" s="7">
        <f>(3600/Table2[[#This Row],[CT]])*G24*24</f>
        <v>46080</v>
      </c>
      <c r="I24" s="7">
        <f>Table2[[#This Row],[TARGET HARI]]/3</f>
        <v>15360</v>
      </c>
      <c r="J24" s="6"/>
      <c r="L24" s="13" t="s">
        <v>122</v>
      </c>
      <c r="M24" s="8">
        <v>6000</v>
      </c>
      <c r="N24" s="8" t="s">
        <v>109</v>
      </c>
      <c r="O24" s="8" t="s">
        <v>71</v>
      </c>
      <c r="P24" s="14">
        <v>202091</v>
      </c>
      <c r="Q24" s="8" t="s">
        <v>105</v>
      </c>
      <c r="R24" s="8"/>
    </row>
    <row r="25" spans="1:18">
      <c r="A25" t="s">
        <v>123</v>
      </c>
      <c r="B25" t="s">
        <v>124</v>
      </c>
      <c r="C25" s="6" t="s">
        <v>19</v>
      </c>
      <c r="D25" s="6">
        <v>800</v>
      </c>
      <c r="E25" s="6">
        <v>17.8</v>
      </c>
      <c r="F25" s="6">
        <v>24</v>
      </c>
      <c r="G25" s="6">
        <v>8</v>
      </c>
      <c r="H25" s="7">
        <f>(3600/Table2[[#This Row],[CT]])*G25*24</f>
        <v>28800</v>
      </c>
      <c r="I25" s="7">
        <f>Table2[[#This Row],[TARGET HARI]]/3</f>
        <v>9600</v>
      </c>
      <c r="J25" s="6"/>
      <c r="L25" s="13" t="s">
        <v>125</v>
      </c>
      <c r="M25" s="8">
        <v>4000</v>
      </c>
      <c r="N25" s="8" t="s">
        <v>109</v>
      </c>
      <c r="O25" s="8" t="s">
        <v>44</v>
      </c>
      <c r="P25" s="14">
        <v>202033</v>
      </c>
      <c r="Q25" s="8" t="s">
        <v>105</v>
      </c>
      <c r="R25" s="8"/>
    </row>
    <row r="26" spans="1:18">
      <c r="A26" t="s">
        <v>126</v>
      </c>
      <c r="B26" t="s">
        <v>127</v>
      </c>
      <c r="C26" s="6" t="s">
        <v>19</v>
      </c>
      <c r="D26" s="6">
        <v>1170</v>
      </c>
      <c r="E26" s="6">
        <v>23.5</v>
      </c>
      <c r="F26" s="6">
        <v>30</v>
      </c>
      <c r="G26" s="6">
        <v>32</v>
      </c>
      <c r="H26" s="7">
        <f>(3600/Table2[[#This Row],[CT]])*G26*24</f>
        <v>92160</v>
      </c>
      <c r="I26" s="7">
        <f>Table2[[#This Row],[TARGET HARI]]/3</f>
        <v>30720</v>
      </c>
      <c r="J26" s="6"/>
      <c r="L26" s="13" t="s">
        <v>128</v>
      </c>
      <c r="M26" s="8">
        <v>4000</v>
      </c>
      <c r="N26" s="8" t="s">
        <v>109</v>
      </c>
      <c r="O26" s="8" t="s">
        <v>44</v>
      </c>
      <c r="P26" s="14">
        <v>202034</v>
      </c>
      <c r="Q26" s="8" t="s">
        <v>105</v>
      </c>
      <c r="R26" s="8"/>
    </row>
    <row r="27" spans="1:18">
      <c r="A27" t="s">
        <v>129</v>
      </c>
      <c r="B27" t="s">
        <v>130</v>
      </c>
      <c r="C27" s="6" t="s">
        <v>19</v>
      </c>
      <c r="D27" s="6">
        <v>900</v>
      </c>
      <c r="E27" s="6">
        <v>24</v>
      </c>
      <c r="F27" s="6">
        <v>28</v>
      </c>
      <c r="G27" s="6">
        <v>16</v>
      </c>
      <c r="H27" s="7">
        <f>(3600/Table2[[#This Row],[CT]])*G27*24</f>
        <v>49371.42857142858</v>
      </c>
      <c r="I27" s="7">
        <f>Table2[[#This Row],[TARGET HARI]]/3</f>
        <v>16457.142857142859</v>
      </c>
      <c r="J27" s="6"/>
      <c r="L27" s="13" t="s">
        <v>131</v>
      </c>
      <c r="M27" s="8">
        <v>2000</v>
      </c>
      <c r="N27" s="8" t="s">
        <v>109</v>
      </c>
      <c r="O27" s="8" t="s">
        <v>132</v>
      </c>
      <c r="P27" s="14">
        <v>202081</v>
      </c>
      <c r="Q27" s="8" t="s">
        <v>105</v>
      </c>
      <c r="R27" s="8"/>
    </row>
    <row r="28" spans="1:18">
      <c r="A28" t="s">
        <v>133</v>
      </c>
      <c r="B28" t="s">
        <v>134</v>
      </c>
      <c r="C28" s="6" t="s">
        <v>19</v>
      </c>
      <c r="D28" s="6">
        <v>0</v>
      </c>
      <c r="E28" s="6">
        <v>23.5</v>
      </c>
      <c r="F28" s="6">
        <v>30</v>
      </c>
      <c r="G28" s="6">
        <v>16</v>
      </c>
      <c r="H28" s="7">
        <f>(3600/Table2[[#This Row],[CT]])*G28*24</f>
        <v>46080</v>
      </c>
      <c r="I28" s="7">
        <f>Table2[[#This Row],[TARGET HARI]]/3</f>
        <v>15360</v>
      </c>
      <c r="J28" s="6"/>
      <c r="L28" s="13" t="s">
        <v>135</v>
      </c>
      <c r="M28" s="8">
        <v>6000</v>
      </c>
      <c r="N28" s="8" t="s">
        <v>109</v>
      </c>
      <c r="O28" s="8" t="s">
        <v>136</v>
      </c>
      <c r="P28" s="14">
        <v>202148</v>
      </c>
      <c r="Q28" s="8" t="s">
        <v>105</v>
      </c>
      <c r="R28" s="8"/>
    </row>
    <row r="29" spans="1:18">
      <c r="A29" t="s">
        <v>137</v>
      </c>
      <c r="B29" t="s">
        <v>138</v>
      </c>
      <c r="C29" s="6" t="s">
        <v>19</v>
      </c>
      <c r="D29" s="6">
        <v>1200</v>
      </c>
      <c r="E29" s="6">
        <v>23.5</v>
      </c>
      <c r="F29" s="6">
        <v>30</v>
      </c>
      <c r="G29" s="6">
        <v>16</v>
      </c>
      <c r="H29" s="7">
        <f>(3600/Table2[[#This Row],[CT]])*G29*24</f>
        <v>46080</v>
      </c>
      <c r="I29" s="7">
        <f>Table2[[#This Row],[TARGET HARI]]/3</f>
        <v>15360</v>
      </c>
      <c r="J29" s="6"/>
      <c r="L29" s="13" t="s">
        <v>139</v>
      </c>
      <c r="M29" s="8">
        <v>4000</v>
      </c>
      <c r="N29" s="8" t="s">
        <v>109</v>
      </c>
      <c r="O29" s="8" t="s">
        <v>140</v>
      </c>
      <c r="P29" s="14">
        <v>201921</v>
      </c>
      <c r="Q29" s="8" t="s">
        <v>105</v>
      </c>
      <c r="R29" s="8"/>
    </row>
    <row r="30" spans="1:18">
      <c r="A30" t="s">
        <v>141</v>
      </c>
      <c r="B30" t="s">
        <v>142</v>
      </c>
      <c r="C30" s="6" t="s">
        <v>19</v>
      </c>
      <c r="D30" s="6">
        <v>0</v>
      </c>
      <c r="E30" s="6">
        <v>23.5</v>
      </c>
      <c r="F30" s="6">
        <v>30</v>
      </c>
      <c r="G30" s="6">
        <v>16</v>
      </c>
      <c r="H30" s="7">
        <f>(3600/Table2[[#This Row],[CT]])*G30*24</f>
        <v>46080</v>
      </c>
      <c r="I30" s="7">
        <f>Table2[[#This Row],[TARGET HARI]]/3</f>
        <v>15360</v>
      </c>
      <c r="J30" s="6"/>
      <c r="L30" s="15" t="s">
        <v>143</v>
      </c>
      <c r="M30" s="16" t="s">
        <v>144</v>
      </c>
      <c r="N30" s="16" t="s">
        <v>145</v>
      </c>
      <c r="O30" s="16" t="s">
        <v>146</v>
      </c>
      <c r="P30" s="17" t="s">
        <v>147</v>
      </c>
      <c r="Q30" s="16" t="s">
        <v>145</v>
      </c>
      <c r="R30" s="16"/>
    </row>
    <row r="31" spans="1:18">
      <c r="A31" t="s">
        <v>148</v>
      </c>
      <c r="B31" t="s">
        <v>149</v>
      </c>
      <c r="C31" s="6" t="s">
        <v>19</v>
      </c>
      <c r="D31" s="6">
        <v>1170</v>
      </c>
      <c r="E31" s="6">
        <v>23.5</v>
      </c>
      <c r="F31" s="6">
        <v>30</v>
      </c>
      <c r="G31" s="6">
        <v>32</v>
      </c>
      <c r="H31" s="7">
        <f>(3600/Table2[[#This Row],[CT]])*G31*24</f>
        <v>92160</v>
      </c>
      <c r="I31" s="7">
        <f>Table2[[#This Row],[TARGET HARI]]/3</f>
        <v>30720</v>
      </c>
      <c r="J31" s="6"/>
    </row>
    <row r="32" spans="1:18">
      <c r="A32" t="s">
        <v>150</v>
      </c>
      <c r="B32" t="s">
        <v>151</v>
      </c>
      <c r="C32" s="6" t="s">
        <v>19</v>
      </c>
      <c r="D32" s="6">
        <v>2952</v>
      </c>
      <c r="E32" s="6">
        <v>8.1999999999999993</v>
      </c>
      <c r="F32" s="6">
        <v>22</v>
      </c>
      <c r="G32" s="6">
        <v>16</v>
      </c>
      <c r="H32" s="7">
        <f>(3600/Table2[[#This Row],[CT]])*G32*24</f>
        <v>62836.363636363632</v>
      </c>
      <c r="I32" s="7">
        <f>Table2[[#This Row],[TARGET HARI]]/3</f>
        <v>20945.454545454544</v>
      </c>
      <c r="J32" s="6">
        <v>499</v>
      </c>
    </row>
    <row r="33" spans="1:10">
      <c r="A33" t="s">
        <v>152</v>
      </c>
      <c r="B33" t="s">
        <v>153</v>
      </c>
      <c r="C33" s="6" t="s">
        <v>19</v>
      </c>
      <c r="D33" s="6">
        <v>1000</v>
      </c>
      <c r="E33" s="6">
        <v>15.5</v>
      </c>
      <c r="F33" s="6">
        <v>25</v>
      </c>
      <c r="G33" s="6">
        <v>16</v>
      </c>
      <c r="H33" s="7">
        <f>(3600/Table2[[#This Row],[CT]])*G33*24</f>
        <v>55296</v>
      </c>
      <c r="I33" s="7">
        <f>Table2[[#This Row],[TARGET HARI]]/3</f>
        <v>18432</v>
      </c>
      <c r="J33" s="6">
        <v>642</v>
      </c>
    </row>
    <row r="34" spans="1:10">
      <c r="A34" t="s">
        <v>154</v>
      </c>
      <c r="B34" t="s">
        <v>155</v>
      </c>
      <c r="C34" s="6" t="s">
        <v>19</v>
      </c>
      <c r="D34" s="6">
        <v>0</v>
      </c>
      <c r="E34" s="6">
        <v>35</v>
      </c>
      <c r="F34" s="6">
        <v>30</v>
      </c>
      <c r="G34" s="6">
        <v>8</v>
      </c>
      <c r="H34" s="7">
        <f>(3600/Table2[[#This Row],[CT]])*G34*24</f>
        <v>23040</v>
      </c>
      <c r="I34" s="7">
        <f>Table2[[#This Row],[TARGET HARI]]/3</f>
        <v>7680</v>
      </c>
      <c r="J34" s="6"/>
    </row>
    <row r="35" spans="1:10">
      <c r="A35" t="s">
        <v>156</v>
      </c>
      <c r="B35" t="s">
        <v>157</v>
      </c>
      <c r="C35" s="6" t="s">
        <v>19</v>
      </c>
      <c r="D35" s="6">
        <v>1200</v>
      </c>
      <c r="E35" s="6">
        <v>23.5</v>
      </c>
      <c r="F35" s="6">
        <v>30</v>
      </c>
      <c r="G35" s="6">
        <v>16</v>
      </c>
      <c r="H35" s="7">
        <f>(3600/Table2[[#This Row],[CT]])*G35*24</f>
        <v>46080</v>
      </c>
      <c r="I35" s="7">
        <f>Table2[[#This Row],[TARGET HARI]]/3</f>
        <v>15360</v>
      </c>
      <c r="J35" s="6"/>
    </row>
    <row r="36" spans="1:10">
      <c r="A36" t="s">
        <v>158</v>
      </c>
      <c r="B36" t="s">
        <v>159</v>
      </c>
      <c r="C36" s="6" t="s">
        <v>19</v>
      </c>
      <c r="D36" s="6">
        <v>0</v>
      </c>
      <c r="E36" s="6">
        <v>17</v>
      </c>
      <c r="F36" s="6">
        <v>30</v>
      </c>
      <c r="G36" s="6">
        <v>16</v>
      </c>
      <c r="H36" s="7">
        <f>(3600/Table2[[#This Row],[CT]])*G36*24</f>
        <v>46080</v>
      </c>
      <c r="I36" s="7">
        <f>Table2[[#This Row],[TARGET HARI]]/3</f>
        <v>15360</v>
      </c>
      <c r="J36" s="6"/>
    </row>
    <row r="37" spans="1:10">
      <c r="A37" t="s">
        <v>160</v>
      </c>
      <c r="B37" t="s">
        <v>161</v>
      </c>
      <c r="C37" s="6" t="s">
        <v>19</v>
      </c>
      <c r="D37" s="6">
        <v>0</v>
      </c>
      <c r="E37" s="6">
        <v>23.5</v>
      </c>
      <c r="F37" s="6">
        <v>30</v>
      </c>
      <c r="G37" s="6">
        <v>32</v>
      </c>
      <c r="H37" s="7">
        <f>(3600/Table2[[#This Row],[CT]])*G37*24</f>
        <v>92160</v>
      </c>
      <c r="I37" s="7">
        <f>Table2[[#This Row],[TARGET HARI]]/3</f>
        <v>30720</v>
      </c>
      <c r="J37" s="6"/>
    </row>
    <row r="38" spans="1:10">
      <c r="A38" t="s">
        <v>162</v>
      </c>
      <c r="B38" t="s">
        <v>163</v>
      </c>
      <c r="C38" s="6" t="s">
        <v>19</v>
      </c>
      <c r="D38" s="6">
        <v>0</v>
      </c>
      <c r="E38" s="6">
        <v>22</v>
      </c>
      <c r="F38" s="6">
        <v>30</v>
      </c>
      <c r="G38" s="6">
        <v>16</v>
      </c>
      <c r="H38" s="7">
        <f>(3600/Table2[[#This Row],[CT]])*G38*24</f>
        <v>46080</v>
      </c>
      <c r="I38" s="7">
        <f>Table2[[#This Row],[TARGET HARI]]/3</f>
        <v>15360</v>
      </c>
      <c r="J38" s="6"/>
    </row>
    <row r="39" spans="1:10">
      <c r="A39" t="s">
        <v>164</v>
      </c>
      <c r="B39" t="s">
        <v>165</v>
      </c>
      <c r="C39" s="6" t="s">
        <v>19</v>
      </c>
      <c r="D39" s="6">
        <v>0</v>
      </c>
      <c r="E39" s="6">
        <v>22</v>
      </c>
      <c r="F39" s="6">
        <v>30</v>
      </c>
      <c r="G39" s="6">
        <v>16</v>
      </c>
      <c r="H39" s="7">
        <f>(3600/Table2[[#This Row],[CT]])*G39*24</f>
        <v>46080</v>
      </c>
      <c r="I39" s="7">
        <f>Table2[[#This Row],[TARGET HARI]]/3</f>
        <v>15360</v>
      </c>
      <c r="J39" s="6"/>
    </row>
    <row r="40" spans="1:10">
      <c r="A40" t="s">
        <v>166</v>
      </c>
      <c r="B40" t="s">
        <v>167</v>
      </c>
      <c r="C40" s="6" t="s">
        <v>19</v>
      </c>
      <c r="D40" s="6">
        <v>0</v>
      </c>
      <c r="E40" s="6">
        <v>8.1999999999999993</v>
      </c>
      <c r="F40" s="6">
        <v>28</v>
      </c>
      <c r="G40" s="6">
        <v>11</v>
      </c>
      <c r="H40" s="7">
        <f>(3600/Table2[[#This Row],[CT]])*G40*24</f>
        <v>33942.857142857145</v>
      </c>
      <c r="I40" s="7">
        <f>Table2[[#This Row],[TARGET HARI]]/3</f>
        <v>11314.285714285716</v>
      </c>
      <c r="J40" s="6"/>
    </row>
    <row r="41" spans="1:10">
      <c r="A41" t="s">
        <v>168</v>
      </c>
      <c r="B41" t="s">
        <v>169</v>
      </c>
      <c r="C41" s="6" t="s">
        <v>19</v>
      </c>
      <c r="D41" s="6">
        <v>1200</v>
      </c>
      <c r="E41" s="6">
        <v>13</v>
      </c>
      <c r="F41" s="6">
        <v>26</v>
      </c>
      <c r="G41" s="6">
        <v>16</v>
      </c>
      <c r="H41" s="7">
        <f>(3600/Table2[[#This Row],[CT]])*G41*24</f>
        <v>53169.230769230766</v>
      </c>
      <c r="I41" s="7">
        <f>Table2[[#This Row],[TARGET HARI]]/3</f>
        <v>17723.076923076922</v>
      </c>
      <c r="J41" s="6"/>
    </row>
    <row r="42" spans="1:10">
      <c r="A42" t="s">
        <v>170</v>
      </c>
      <c r="B42" t="s">
        <v>171</v>
      </c>
      <c r="C42" s="6" t="s">
        <v>19</v>
      </c>
      <c r="D42" s="6">
        <v>1200</v>
      </c>
      <c r="E42" s="6">
        <v>17</v>
      </c>
      <c r="F42" s="6">
        <v>30</v>
      </c>
      <c r="G42" s="6">
        <v>16</v>
      </c>
      <c r="H42" s="7">
        <f>(3600/Table2[[#This Row],[CT]])*G42*24</f>
        <v>46080</v>
      </c>
      <c r="I42" s="7">
        <f>Table2[[#This Row],[TARGET HARI]]/3</f>
        <v>15360</v>
      </c>
      <c r="J42" s="6"/>
    </row>
    <row r="43" spans="1:10">
      <c r="A43" t="s">
        <v>172</v>
      </c>
      <c r="B43" t="s">
        <v>173</v>
      </c>
      <c r="C43" s="6" t="s">
        <v>19</v>
      </c>
      <c r="D43" s="6">
        <v>0</v>
      </c>
      <c r="E43" s="6">
        <v>21</v>
      </c>
      <c r="F43" s="6">
        <v>30</v>
      </c>
      <c r="G43" s="6">
        <v>16</v>
      </c>
      <c r="H43" s="7">
        <f>(3600/Table2[[#This Row],[CT]])*G43*24</f>
        <v>46080</v>
      </c>
      <c r="I43" s="7">
        <f>Table2[[#This Row],[TARGET HARI]]/3</f>
        <v>15360</v>
      </c>
      <c r="J43" s="6"/>
    </row>
    <row r="44" spans="1:10">
      <c r="A44" t="s">
        <v>174</v>
      </c>
      <c r="B44" t="s">
        <v>175</v>
      </c>
      <c r="C44" s="6" t="s">
        <v>19</v>
      </c>
      <c r="D44" s="6">
        <v>1200</v>
      </c>
      <c r="E44" s="6">
        <v>13</v>
      </c>
      <c r="F44" s="6">
        <v>26</v>
      </c>
      <c r="G44" s="6">
        <v>16</v>
      </c>
      <c r="H44" s="7">
        <f>(3600/Table2[[#This Row],[CT]])*G44*24</f>
        <v>53169.230769230766</v>
      </c>
      <c r="I44" s="7">
        <f>Table2[[#This Row],[TARGET HARI]]/3</f>
        <v>17723.076923076922</v>
      </c>
      <c r="J44" s="6"/>
    </row>
    <row r="45" spans="1:10">
      <c r="A45" t="s">
        <v>176</v>
      </c>
      <c r="B45" t="s">
        <v>177</v>
      </c>
      <c r="C45" s="6" t="s">
        <v>19</v>
      </c>
      <c r="D45" s="6">
        <v>0</v>
      </c>
      <c r="E45" s="6">
        <v>23.5</v>
      </c>
      <c r="F45" s="6">
        <v>27</v>
      </c>
      <c r="G45" s="6">
        <v>16</v>
      </c>
      <c r="H45" s="7">
        <f>(3600/Table2[[#This Row],[CT]])*G45*24</f>
        <v>51200</v>
      </c>
      <c r="I45" s="7">
        <f>Table2[[#This Row],[TARGET HARI]]/3</f>
        <v>17066.666666666668</v>
      </c>
      <c r="J45" s="6"/>
    </row>
    <row r="46" spans="1:10">
      <c r="A46" t="s">
        <v>178</v>
      </c>
      <c r="B46" t="s">
        <v>179</v>
      </c>
      <c r="C46" s="6" t="s">
        <v>19</v>
      </c>
      <c r="D46" s="6">
        <v>540</v>
      </c>
      <c r="E46" s="6">
        <v>26</v>
      </c>
      <c r="F46" s="6">
        <v>30</v>
      </c>
      <c r="G46" s="6">
        <v>16</v>
      </c>
      <c r="H46" s="7">
        <f>(3600/Table2[[#This Row],[CT]])*G46*24</f>
        <v>46080</v>
      </c>
      <c r="I46" s="7">
        <f>Table2[[#This Row],[TARGET HARI]]/3</f>
        <v>15360</v>
      </c>
      <c r="J46" s="6"/>
    </row>
    <row r="47" spans="1:10">
      <c r="A47" t="s">
        <v>180</v>
      </c>
      <c r="B47" t="s">
        <v>181</v>
      </c>
      <c r="C47" s="6" t="s">
        <v>19</v>
      </c>
      <c r="D47" s="6">
        <v>1170</v>
      </c>
      <c r="E47" s="6">
        <v>7.5</v>
      </c>
      <c r="F47" s="6">
        <v>25</v>
      </c>
      <c r="G47" s="6">
        <v>16</v>
      </c>
      <c r="H47" s="7">
        <f>(3600/Table2[[#This Row],[CT]])*G47*24</f>
        <v>55296</v>
      </c>
      <c r="I47" s="7">
        <f>Table2[[#This Row],[TARGET HARI]]/3</f>
        <v>18432</v>
      </c>
      <c r="J47" s="6"/>
    </row>
    <row r="48" spans="1:10">
      <c r="A48" t="s">
        <v>182</v>
      </c>
      <c r="B48" t="s">
        <v>183</v>
      </c>
      <c r="C48" s="6" t="s">
        <v>19</v>
      </c>
      <c r="D48" s="6">
        <v>1170</v>
      </c>
      <c r="E48" s="6">
        <v>23.5</v>
      </c>
      <c r="F48" s="6">
        <v>30</v>
      </c>
      <c r="G48" s="6">
        <v>16</v>
      </c>
      <c r="H48" s="7">
        <f>(3600/Table2[[#This Row],[CT]])*G48*24</f>
        <v>46080</v>
      </c>
      <c r="I48" s="7">
        <f>Table2[[#This Row],[TARGET HARI]]/3</f>
        <v>15360</v>
      </c>
      <c r="J48" s="6"/>
    </row>
    <row r="49" spans="1:10">
      <c r="A49" t="s">
        <v>184</v>
      </c>
      <c r="B49" t="s">
        <v>185</v>
      </c>
      <c r="C49" s="6" t="s">
        <v>19</v>
      </c>
      <c r="D49" s="6">
        <v>1170</v>
      </c>
      <c r="E49" s="6">
        <v>5.5</v>
      </c>
      <c r="F49" s="6">
        <v>22</v>
      </c>
      <c r="H49" s="7">
        <f>(3600/Table2[[#This Row],[CT]])*G49*24</f>
        <v>0</v>
      </c>
      <c r="I49" s="7">
        <f>Table2[[#This Row],[TARGET HARI]]/3</f>
        <v>0</v>
      </c>
      <c r="J49" s="6"/>
    </row>
    <row r="50" spans="1:10">
      <c r="A50" t="s">
        <v>186</v>
      </c>
      <c r="B50" t="s">
        <v>187</v>
      </c>
      <c r="C50" s="6" t="s">
        <v>19</v>
      </c>
      <c r="D50" s="6">
        <v>540</v>
      </c>
      <c r="E50" s="6">
        <v>50</v>
      </c>
      <c r="F50" s="6">
        <v>33</v>
      </c>
      <c r="H50" s="7">
        <f>(3600/Table2[[#This Row],[CT]])*G50*24</f>
        <v>0</v>
      </c>
      <c r="I50" s="7">
        <f>Table2[[#This Row],[TARGET HARI]]/3</f>
        <v>0</v>
      </c>
      <c r="J50" s="6"/>
    </row>
    <row r="51" spans="1:10">
      <c r="A51" t="s">
        <v>188</v>
      </c>
      <c r="B51" t="s">
        <v>189</v>
      </c>
      <c r="C51" s="6" t="s">
        <v>19</v>
      </c>
      <c r="D51" s="6">
        <v>1000</v>
      </c>
      <c r="E51" s="6">
        <v>15.5</v>
      </c>
      <c r="F51" s="6">
        <v>25</v>
      </c>
      <c r="G51" s="6">
        <v>16</v>
      </c>
      <c r="H51" s="7">
        <f>(3600/Table2[[#This Row],[CT]])*G51*24</f>
        <v>55296</v>
      </c>
      <c r="I51" s="7">
        <f>Table2[[#This Row],[TARGET HARI]]/3</f>
        <v>18432</v>
      </c>
      <c r="J51" s="6"/>
    </row>
    <row r="52" spans="1:10">
      <c r="A52" t="s">
        <v>190</v>
      </c>
      <c r="B52" t="s">
        <v>191</v>
      </c>
      <c r="C52" s="6" t="s">
        <v>19</v>
      </c>
      <c r="D52" s="6">
        <v>0</v>
      </c>
      <c r="E52" s="6">
        <v>23.5</v>
      </c>
      <c r="F52" s="6">
        <v>27</v>
      </c>
      <c r="H52" s="7">
        <f>(3600/Table2[[#This Row],[CT]])*G52*24</f>
        <v>0</v>
      </c>
      <c r="I52" s="7">
        <f>Table2[[#This Row],[TARGET HARI]]/3</f>
        <v>0</v>
      </c>
      <c r="J52" s="6"/>
    </row>
    <row r="53" spans="1:10">
      <c r="A53" t="s">
        <v>192</v>
      </c>
      <c r="B53" t="s">
        <v>193</v>
      </c>
      <c r="C53" s="6" t="s">
        <v>19</v>
      </c>
      <c r="D53" s="6">
        <v>2952</v>
      </c>
      <c r="E53" s="6">
        <v>8.1999999999999993</v>
      </c>
      <c r="F53" s="6">
        <v>22</v>
      </c>
      <c r="G53" s="6">
        <v>8</v>
      </c>
      <c r="H53" s="7">
        <f>(3600/Table2[[#This Row],[CT]])*G53*24</f>
        <v>31418.181818181816</v>
      </c>
      <c r="I53" s="7">
        <f>Table2[[#This Row],[TARGET HARI]]/3</f>
        <v>10472.727272727272</v>
      </c>
      <c r="J53" s="6">
        <v>441</v>
      </c>
    </row>
    <row r="54" spans="1:10">
      <c r="A54" t="s">
        <v>194</v>
      </c>
      <c r="B54" t="s">
        <v>195</v>
      </c>
      <c r="C54" s="6" t="s">
        <v>19</v>
      </c>
      <c r="D54" s="6">
        <v>2952</v>
      </c>
      <c r="E54" s="6">
        <v>8.1999999999999993</v>
      </c>
      <c r="F54" s="6">
        <v>20</v>
      </c>
      <c r="G54" s="6">
        <v>8</v>
      </c>
      <c r="H54" s="7">
        <f>(3600/Table2[[#This Row],[CT]])*G54*24</f>
        <v>34560</v>
      </c>
      <c r="I54" s="7">
        <f>Table2[[#This Row],[TARGET HARI]]/3</f>
        <v>11520</v>
      </c>
      <c r="J54" s="6">
        <v>600</v>
      </c>
    </row>
    <row r="55" spans="1:10">
      <c r="A55" t="s">
        <v>196</v>
      </c>
      <c r="B55" t="s">
        <v>197</v>
      </c>
      <c r="C55" s="6" t="s">
        <v>19</v>
      </c>
      <c r="D55" s="6">
        <v>0</v>
      </c>
      <c r="E55" s="6">
        <v>9</v>
      </c>
      <c r="F55" s="6">
        <v>28</v>
      </c>
      <c r="G55" s="6">
        <v>12</v>
      </c>
      <c r="H55" s="7">
        <f>(3600/Table2[[#This Row],[CT]])*G55*24</f>
        <v>37028.571428571435</v>
      </c>
      <c r="I55" s="7">
        <f>Table2[[#This Row],[TARGET HARI]]/3</f>
        <v>12342.857142857145</v>
      </c>
      <c r="J55" s="6"/>
    </row>
    <row r="56" spans="1:10">
      <c r="A56" t="s">
        <v>198</v>
      </c>
      <c r="B56" t="s">
        <v>199</v>
      </c>
      <c r="C56" s="6" t="s">
        <v>19</v>
      </c>
      <c r="D56" s="6">
        <v>1734</v>
      </c>
      <c r="E56" s="6">
        <v>8.1999999999999993</v>
      </c>
      <c r="F56" s="6">
        <v>28</v>
      </c>
      <c r="G56" s="6">
        <v>12</v>
      </c>
      <c r="H56" s="7">
        <f>(3600/Table2[[#This Row],[CT]])*G56*24</f>
        <v>37028.571428571435</v>
      </c>
      <c r="I56" s="7">
        <f>Table2[[#This Row],[TARGET HARI]]/3</f>
        <v>12342.857142857145</v>
      </c>
      <c r="J56" s="6">
        <v>622</v>
      </c>
    </row>
    <row r="57" spans="1:10">
      <c r="A57" t="s">
        <v>200</v>
      </c>
      <c r="B57" t="s">
        <v>201</v>
      </c>
      <c r="C57" s="6" t="s">
        <v>19</v>
      </c>
      <c r="D57" s="6">
        <v>0</v>
      </c>
      <c r="E57" s="6">
        <v>8.1999999999999993</v>
      </c>
      <c r="F57" s="6">
        <v>28</v>
      </c>
      <c r="G57" s="6">
        <v>12</v>
      </c>
      <c r="H57" s="7">
        <f>(3600/Table2[[#This Row],[CT]])*G57*24</f>
        <v>37028.571428571435</v>
      </c>
      <c r="I57" s="7">
        <f>Table2[[#This Row],[TARGET HARI]]/3</f>
        <v>12342.857142857145</v>
      </c>
      <c r="J57" s="6">
        <v>642</v>
      </c>
    </row>
    <row r="58" spans="1:10">
      <c r="A58" t="s">
        <v>202</v>
      </c>
      <c r="B58" t="s">
        <v>203</v>
      </c>
      <c r="C58" s="6" t="s">
        <v>19</v>
      </c>
      <c r="D58" s="6">
        <v>1000</v>
      </c>
      <c r="E58" s="6">
        <v>15.5</v>
      </c>
      <c r="F58" s="6">
        <v>25</v>
      </c>
      <c r="G58" s="6">
        <v>16</v>
      </c>
      <c r="H58" s="7">
        <f>(3600/Table2[[#This Row],[CT]])*G58*24</f>
        <v>55296</v>
      </c>
      <c r="I58" s="7">
        <f>Table2[[#This Row],[TARGET HARI]]/3</f>
        <v>18432</v>
      </c>
      <c r="J58" s="6"/>
    </row>
    <row r="59" spans="1:10">
      <c r="A59" t="s">
        <v>204</v>
      </c>
      <c r="B59" t="s">
        <v>205</v>
      </c>
      <c r="C59" s="6" t="s">
        <v>19</v>
      </c>
      <c r="D59" s="6">
        <v>0</v>
      </c>
      <c r="E59" s="6">
        <v>23.5</v>
      </c>
      <c r="F59" s="6">
        <v>43</v>
      </c>
      <c r="H59" s="7">
        <f>(3600/Table2[[#This Row],[CT]])*G59*24</f>
        <v>0</v>
      </c>
      <c r="I59" s="7">
        <f>Table2[[#This Row],[TARGET HARI]]/3</f>
        <v>0</v>
      </c>
      <c r="J59" s="6"/>
    </row>
    <row r="60" spans="1:10">
      <c r="A60" t="s">
        <v>206</v>
      </c>
      <c r="B60" t="s">
        <v>207</v>
      </c>
      <c r="C60" s="6" t="s">
        <v>19</v>
      </c>
      <c r="D60" s="6">
        <v>0</v>
      </c>
      <c r="E60" s="6">
        <v>17</v>
      </c>
      <c r="F60" s="6">
        <v>30</v>
      </c>
      <c r="G60" s="6">
        <v>16</v>
      </c>
      <c r="H60" s="7">
        <f>(3600/Table2[[#This Row],[CT]])*G60*24</f>
        <v>46080</v>
      </c>
      <c r="I60" s="7">
        <f>Table2[[#This Row],[TARGET HARI]]/3</f>
        <v>15360</v>
      </c>
      <c r="J60" s="6"/>
    </row>
    <row r="61" spans="1:10">
      <c r="A61" t="s">
        <v>208</v>
      </c>
      <c r="B61" t="s">
        <v>209</v>
      </c>
      <c r="C61" s="6" t="s">
        <v>19</v>
      </c>
      <c r="D61" s="6">
        <v>0</v>
      </c>
      <c r="E61" s="6">
        <v>17</v>
      </c>
      <c r="F61" s="6">
        <v>30</v>
      </c>
      <c r="G61" s="6">
        <v>16</v>
      </c>
      <c r="H61" s="7">
        <f>(3600/Table2[[#This Row],[CT]])*G61*24</f>
        <v>46080</v>
      </c>
      <c r="I61" s="7">
        <f>Table2[[#This Row],[TARGET HARI]]/3</f>
        <v>15360</v>
      </c>
      <c r="J61" s="6"/>
    </row>
    <row r="62" spans="1:10">
      <c r="A62" t="s">
        <v>210</v>
      </c>
      <c r="B62" t="s">
        <v>211</v>
      </c>
      <c r="C62" s="6" t="s">
        <v>19</v>
      </c>
      <c r="D62" s="6">
        <v>750</v>
      </c>
      <c r="E62" s="6">
        <v>21.4</v>
      </c>
      <c r="F62" s="6">
        <v>25</v>
      </c>
      <c r="G62" s="6">
        <v>16</v>
      </c>
      <c r="H62" s="7">
        <f>(3600/Table2[[#This Row],[CT]])*G62*24</f>
        <v>55296</v>
      </c>
      <c r="I62" s="7">
        <f>Table2[[#This Row],[TARGET HARI]]/3</f>
        <v>18432</v>
      </c>
      <c r="J62" s="6">
        <v>850</v>
      </c>
    </row>
    <row r="63" spans="1:10">
      <c r="A63" t="s">
        <v>212</v>
      </c>
      <c r="B63" t="s">
        <v>213</v>
      </c>
      <c r="C63" s="6" t="s">
        <v>19</v>
      </c>
      <c r="D63" s="6">
        <v>1170</v>
      </c>
      <c r="E63" s="6">
        <v>23.5</v>
      </c>
      <c r="F63" s="6">
        <v>27</v>
      </c>
      <c r="G63" s="6">
        <v>16</v>
      </c>
      <c r="H63" s="7">
        <f>(3600/Table2[[#This Row],[CT]])*G63*24</f>
        <v>51200</v>
      </c>
      <c r="I63" s="7">
        <f>Table2[[#This Row],[TARGET HARI]]/3</f>
        <v>17066.666666666668</v>
      </c>
      <c r="J63" s="6"/>
    </row>
    <row r="64" spans="1:10">
      <c r="A64" t="s">
        <v>214</v>
      </c>
      <c r="B64" t="s">
        <v>215</v>
      </c>
      <c r="C64" s="6" t="s">
        <v>19</v>
      </c>
      <c r="D64" s="6">
        <v>1170</v>
      </c>
      <c r="E64" s="6">
        <v>23.5</v>
      </c>
      <c r="F64" s="6">
        <v>28</v>
      </c>
      <c r="G64" s="6">
        <v>16</v>
      </c>
      <c r="H64" s="7">
        <f>(3600/Table2[[#This Row],[CT]])*G64*24</f>
        <v>49371.42857142858</v>
      </c>
      <c r="I64" s="7">
        <f>Table2[[#This Row],[TARGET HARI]]/3</f>
        <v>16457.142857142859</v>
      </c>
      <c r="J64" s="6"/>
    </row>
    <row r="65" spans="1:10">
      <c r="A65" t="s">
        <v>216</v>
      </c>
      <c r="B65" t="s">
        <v>217</v>
      </c>
      <c r="C65" s="6" t="s">
        <v>19</v>
      </c>
      <c r="D65" s="6">
        <v>1170</v>
      </c>
      <c r="E65" s="6">
        <v>20</v>
      </c>
      <c r="F65" s="6">
        <v>30</v>
      </c>
      <c r="G65" s="6">
        <v>16</v>
      </c>
      <c r="H65" s="7">
        <f>(3600/Table2[[#This Row],[CT]])*G65*24</f>
        <v>46080</v>
      </c>
      <c r="I65" s="7">
        <f>Table2[[#This Row],[TARGET HARI]]/3</f>
        <v>15360</v>
      </c>
      <c r="J65" s="6"/>
    </row>
    <row r="66" spans="1:10">
      <c r="A66" t="s">
        <v>218</v>
      </c>
      <c r="B66" t="s">
        <v>219</v>
      </c>
      <c r="C66" s="6" t="s">
        <v>19</v>
      </c>
      <c r="D66" s="6">
        <v>1734</v>
      </c>
      <c r="E66" s="6">
        <v>8.1999999999999993</v>
      </c>
      <c r="F66" s="6">
        <v>28</v>
      </c>
      <c r="G66" s="6">
        <v>12</v>
      </c>
      <c r="H66" s="7">
        <f>(3600/Table2[[#This Row],[CT]])*G66*24</f>
        <v>37028.571428571435</v>
      </c>
      <c r="I66" s="7">
        <f>Table2[[#This Row],[TARGET HARI]]/3</f>
        <v>12342.857142857145</v>
      </c>
      <c r="J66" s="6">
        <v>650</v>
      </c>
    </row>
    <row r="67" spans="1:10">
      <c r="A67" t="s">
        <v>220</v>
      </c>
      <c r="B67" t="s">
        <v>221</v>
      </c>
      <c r="C67" s="6" t="s">
        <v>19</v>
      </c>
      <c r="D67" s="6">
        <v>1170</v>
      </c>
      <c r="E67" s="6">
        <v>21.5</v>
      </c>
      <c r="F67" s="6">
        <v>28</v>
      </c>
      <c r="G67" s="6">
        <v>16</v>
      </c>
      <c r="H67" s="7">
        <f>(3600/Table2[[#This Row],[CT]])*G67*24</f>
        <v>49371.42857142858</v>
      </c>
      <c r="I67" s="7">
        <f>Table2[[#This Row],[TARGET HARI]]/3</f>
        <v>16457.142857142859</v>
      </c>
      <c r="J67" s="6"/>
    </row>
    <row r="68" spans="1:10">
      <c r="A68" t="s">
        <v>222</v>
      </c>
      <c r="B68" t="s">
        <v>223</v>
      </c>
      <c r="C68" s="6" t="s">
        <v>19</v>
      </c>
      <c r="D68" s="6">
        <v>1170</v>
      </c>
      <c r="E68" s="6">
        <v>23.5</v>
      </c>
      <c r="F68" s="6">
        <v>35</v>
      </c>
      <c r="G68" s="6">
        <v>32</v>
      </c>
      <c r="H68" s="7">
        <f>(3600/Table2[[#This Row],[CT]])*G68*24</f>
        <v>78994.28571428571</v>
      </c>
      <c r="I68" s="7">
        <f>Table2[[#This Row],[TARGET HARI]]/3</f>
        <v>26331.428571428569</v>
      </c>
      <c r="J68" s="6"/>
    </row>
    <row r="69" spans="1:10">
      <c r="A69" t="s">
        <v>224</v>
      </c>
      <c r="B69" t="s">
        <v>225</v>
      </c>
      <c r="C69" s="6" t="s">
        <v>19</v>
      </c>
      <c r="D69" s="6">
        <v>540</v>
      </c>
      <c r="E69" s="6">
        <v>26</v>
      </c>
      <c r="F69" s="6">
        <v>30</v>
      </c>
      <c r="G69" s="6">
        <v>8</v>
      </c>
      <c r="H69" s="7">
        <f>(3600/Table2[[#This Row],[CT]])*G69*24</f>
        <v>23040</v>
      </c>
      <c r="I69" s="7">
        <f>Table2[[#This Row],[TARGET HARI]]/3</f>
        <v>7680</v>
      </c>
      <c r="J69" s="6"/>
    </row>
    <row r="70" spans="1:10">
      <c r="A70" t="s">
        <v>226</v>
      </c>
      <c r="B70" t="s">
        <v>227</v>
      </c>
      <c r="C70" s="6" t="s">
        <v>19</v>
      </c>
      <c r="D70" s="6">
        <v>1170</v>
      </c>
      <c r="E70" s="6">
        <v>20</v>
      </c>
      <c r="F70" s="6">
        <v>22</v>
      </c>
      <c r="H70" s="7">
        <f>(3600/Table2[[#This Row],[CT]])*G70*24</f>
        <v>0</v>
      </c>
      <c r="I70" s="7">
        <f>Table2[[#This Row],[TARGET HARI]]/3</f>
        <v>0</v>
      </c>
      <c r="J70" s="6"/>
    </row>
    <row r="71" spans="1:10">
      <c r="A71" t="s">
        <v>228</v>
      </c>
      <c r="B71" t="s">
        <v>229</v>
      </c>
      <c r="C71" s="6" t="s">
        <v>19</v>
      </c>
      <c r="D71" s="6">
        <v>1170</v>
      </c>
      <c r="E71" s="6">
        <v>20</v>
      </c>
      <c r="F71" s="6">
        <v>22</v>
      </c>
      <c r="H71" s="7">
        <f>(3600/Table2[[#This Row],[CT]])*G71*24</f>
        <v>0</v>
      </c>
      <c r="I71" s="7">
        <f>Table2[[#This Row],[TARGET HARI]]/3</f>
        <v>0</v>
      </c>
      <c r="J71" s="6"/>
    </row>
    <row r="72" spans="1:10">
      <c r="A72" t="s">
        <v>230</v>
      </c>
      <c r="B72" t="s">
        <v>231</v>
      </c>
      <c r="C72" s="6" t="s">
        <v>19</v>
      </c>
      <c r="D72" s="6">
        <v>0</v>
      </c>
      <c r="E72" s="6">
        <v>23.5</v>
      </c>
      <c r="F72" s="6">
        <v>26</v>
      </c>
      <c r="H72" s="7">
        <f>(3600/Table2[[#This Row],[CT]])*G72*24</f>
        <v>0</v>
      </c>
      <c r="I72" s="7">
        <f>Table2[[#This Row],[TARGET HARI]]/3</f>
        <v>0</v>
      </c>
      <c r="J72" s="6"/>
    </row>
    <row r="73" spans="1:10">
      <c r="A73" t="s">
        <v>232</v>
      </c>
      <c r="B73" t="s">
        <v>233</v>
      </c>
      <c r="C73" s="6" t="s">
        <v>19</v>
      </c>
      <c r="D73" s="6">
        <v>1200</v>
      </c>
      <c r="E73" s="6">
        <v>13</v>
      </c>
      <c r="F73" s="6">
        <v>20</v>
      </c>
      <c r="G73" s="6">
        <v>16</v>
      </c>
      <c r="H73" s="7">
        <f>(3600/Table2[[#This Row],[CT]])*G73*24</f>
        <v>69120</v>
      </c>
      <c r="I73" s="7">
        <f>Table2[[#This Row],[TARGET HARI]]/3</f>
        <v>23040</v>
      </c>
      <c r="J73" s="6"/>
    </row>
    <row r="74" spans="1:10">
      <c r="B74" t="s">
        <v>234</v>
      </c>
      <c r="C74" s="6" t="s">
        <v>19</v>
      </c>
      <c r="D74" s="6">
        <v>1200</v>
      </c>
      <c r="E74" s="6">
        <v>13</v>
      </c>
      <c r="F74" s="6">
        <v>20</v>
      </c>
      <c r="G74" s="6">
        <v>16</v>
      </c>
      <c r="H74" s="7">
        <f>(3600/Table2[[#This Row],[CT]])*G74*24</f>
        <v>69120</v>
      </c>
      <c r="I74" s="7">
        <f>Table2[[#This Row],[TARGET HARI]]/3</f>
        <v>23040</v>
      </c>
      <c r="J74" s="6"/>
    </row>
    <row r="75" spans="1:10">
      <c r="A75" t="s">
        <v>235</v>
      </c>
      <c r="B75" t="s">
        <v>236</v>
      </c>
      <c r="C75" s="6" t="s">
        <v>19</v>
      </c>
      <c r="D75" s="6">
        <v>0</v>
      </c>
      <c r="E75" s="6">
        <v>23.5</v>
      </c>
      <c r="F75" s="6">
        <v>30</v>
      </c>
      <c r="G75" s="6">
        <v>32</v>
      </c>
      <c r="H75" s="7">
        <f>(3600/Table2[[#This Row],[CT]])*G75*24</f>
        <v>92160</v>
      </c>
      <c r="I75" s="7">
        <f>Table2[[#This Row],[TARGET HARI]]/3</f>
        <v>30720</v>
      </c>
      <c r="J75" s="6"/>
    </row>
    <row r="76" spans="1:10">
      <c r="A76" t="s">
        <v>237</v>
      </c>
      <c r="B76" t="s">
        <v>238</v>
      </c>
      <c r="C76" s="6" t="s">
        <v>19</v>
      </c>
      <c r="D76" s="6">
        <v>1200</v>
      </c>
      <c r="E76" s="6">
        <v>13</v>
      </c>
      <c r="F76" s="6">
        <v>22</v>
      </c>
      <c r="G76" s="6">
        <v>16</v>
      </c>
      <c r="H76" s="7">
        <f>(3600/Table2[[#This Row],[CT]])*G76*24</f>
        <v>62836.363636363632</v>
      </c>
      <c r="I76" s="7">
        <f>Table2[[#This Row],[TARGET HARI]]/3</f>
        <v>20945.454545454544</v>
      </c>
      <c r="J76" s="6"/>
    </row>
    <row r="77" spans="1:10">
      <c r="A77" t="s">
        <v>239</v>
      </c>
      <c r="B77" t="s">
        <v>240</v>
      </c>
      <c r="C77" s="6" t="s">
        <v>19</v>
      </c>
      <c r="D77" s="6">
        <v>0</v>
      </c>
      <c r="E77" s="6">
        <v>8.1999999999999993</v>
      </c>
      <c r="F77" s="6">
        <v>22</v>
      </c>
      <c r="G77" s="6">
        <v>8</v>
      </c>
      <c r="H77" s="7">
        <f>(3600/Table2[[#This Row],[CT]])*G77*24</f>
        <v>31418.181818181816</v>
      </c>
      <c r="I77" s="7">
        <f>Table2[[#This Row],[TARGET HARI]]/3</f>
        <v>10472.727272727272</v>
      </c>
      <c r="J77" s="6">
        <v>499</v>
      </c>
    </row>
    <row r="78" spans="1:10">
      <c r="A78" t="s">
        <v>241</v>
      </c>
      <c r="B78" t="s">
        <v>242</v>
      </c>
      <c r="C78" s="6" t="s">
        <v>19</v>
      </c>
      <c r="D78" s="6">
        <v>750</v>
      </c>
      <c r="E78" s="6">
        <v>21.4</v>
      </c>
      <c r="F78" s="6">
        <v>26</v>
      </c>
      <c r="G78" s="6">
        <v>15</v>
      </c>
      <c r="H78" s="7">
        <f>(3600/Table2[[#This Row],[CT]])*G78*24</f>
        <v>49846.153846153844</v>
      </c>
      <c r="I78" s="7">
        <f>Table2[[#This Row],[TARGET HARI]]/3</f>
        <v>16615.384615384613</v>
      </c>
      <c r="J78" s="6"/>
    </row>
    <row r="79" spans="1:10">
      <c r="A79" t="s">
        <v>243</v>
      </c>
      <c r="B79" t="s">
        <v>244</v>
      </c>
      <c r="C79" s="6" t="s">
        <v>19</v>
      </c>
      <c r="D79" s="6">
        <v>1170</v>
      </c>
      <c r="E79" s="6">
        <v>7.5</v>
      </c>
      <c r="F79" s="6">
        <v>22</v>
      </c>
      <c r="G79" s="6">
        <v>15</v>
      </c>
      <c r="H79" s="7">
        <f>(3600/Table2[[#This Row],[CT]])*G79*24</f>
        <v>58909.090909090912</v>
      </c>
      <c r="I79" s="7">
        <f>Table2[[#This Row],[TARGET HARI]]/3</f>
        <v>19636.363636363636</v>
      </c>
      <c r="J79" s="6"/>
    </row>
    <row r="80" spans="1:10">
      <c r="A80" t="s">
        <v>245</v>
      </c>
      <c r="B80" t="s">
        <v>246</v>
      </c>
      <c r="C80" s="6" t="s">
        <v>19</v>
      </c>
      <c r="D80" s="6">
        <v>1170</v>
      </c>
      <c r="E80" s="6">
        <v>7.5</v>
      </c>
      <c r="F80" s="6">
        <v>26</v>
      </c>
      <c r="G80" s="6">
        <v>16</v>
      </c>
      <c r="H80" s="7">
        <f>(3600/Table2[[#This Row],[CT]])*G80*24</f>
        <v>53169.230769230766</v>
      </c>
      <c r="I80" s="7">
        <f>Table2[[#This Row],[TARGET HARI]]/3</f>
        <v>17723.076923076922</v>
      </c>
      <c r="J80" s="6"/>
    </row>
    <row r="81" spans="1:10">
      <c r="A81" t="s">
        <v>247</v>
      </c>
      <c r="B81" t="s">
        <v>248</v>
      </c>
      <c r="C81" s="6" t="s">
        <v>19</v>
      </c>
      <c r="D81" s="6">
        <v>0</v>
      </c>
      <c r="E81" s="6">
        <v>23.5</v>
      </c>
      <c r="F81" s="6">
        <v>27</v>
      </c>
      <c r="G81" s="6">
        <v>16</v>
      </c>
      <c r="H81" s="7">
        <f>(3600/Table2[[#This Row],[CT]])*G81*24</f>
        <v>51200</v>
      </c>
      <c r="I81" s="7">
        <f>Table2[[#This Row],[TARGET HARI]]/3</f>
        <v>17066.666666666668</v>
      </c>
      <c r="J81" s="6"/>
    </row>
    <row r="82" spans="1:10">
      <c r="A82" t="s">
        <v>249</v>
      </c>
      <c r="B82" t="s">
        <v>250</v>
      </c>
      <c r="C82" s="6" t="s">
        <v>19</v>
      </c>
      <c r="D82" s="6">
        <v>1200</v>
      </c>
      <c r="E82" s="6">
        <v>13</v>
      </c>
      <c r="F82" s="6">
        <v>26</v>
      </c>
      <c r="G82" s="6">
        <v>16</v>
      </c>
      <c r="H82" s="7">
        <f>(3600/Table2[[#This Row],[CT]])*G82*24</f>
        <v>53169.230769230766</v>
      </c>
      <c r="I82" s="7">
        <f>Table2[[#This Row],[TARGET HARI]]/3</f>
        <v>17723.076923076922</v>
      </c>
      <c r="J82" s="6"/>
    </row>
    <row r="83" spans="1:10">
      <c r="A83" t="s">
        <v>251</v>
      </c>
      <c r="B83" t="s">
        <v>252</v>
      </c>
      <c r="C83" s="6" t="s">
        <v>19</v>
      </c>
      <c r="D83" s="6">
        <v>1170</v>
      </c>
      <c r="E83" s="6">
        <v>23.5</v>
      </c>
      <c r="F83" s="6">
        <v>30</v>
      </c>
      <c r="G83" s="6">
        <v>16</v>
      </c>
      <c r="H83" s="7">
        <f>(3600/Table2[[#This Row],[CT]])*G83*24</f>
        <v>46080</v>
      </c>
      <c r="I83" s="7">
        <f>Table2[[#This Row],[TARGET HARI]]/3</f>
        <v>15360</v>
      </c>
      <c r="J83" s="6"/>
    </row>
    <row r="84" spans="1:10">
      <c r="A84" t="s">
        <v>253</v>
      </c>
      <c r="B84" t="s">
        <v>254</v>
      </c>
      <c r="C84" s="6" t="s">
        <v>19</v>
      </c>
      <c r="D84" s="6">
        <v>0</v>
      </c>
      <c r="E84" s="6">
        <v>23.5</v>
      </c>
      <c r="F84" s="6">
        <v>40</v>
      </c>
      <c r="H84" s="7">
        <f>(3600/Table2[[#This Row],[CT]])*G84*24</f>
        <v>0</v>
      </c>
      <c r="I84" s="7">
        <f>Table2[[#This Row],[TARGET HARI]]/3</f>
        <v>0</v>
      </c>
      <c r="J84" s="6"/>
    </row>
    <row r="85" spans="1:10">
      <c r="A85" t="s">
        <v>255</v>
      </c>
      <c r="B85" t="s">
        <v>256</v>
      </c>
      <c r="C85" s="6" t="s">
        <v>19</v>
      </c>
      <c r="D85" s="6">
        <v>900</v>
      </c>
      <c r="E85" s="6">
        <v>23.5</v>
      </c>
      <c r="F85" s="6">
        <v>30</v>
      </c>
      <c r="G85" s="6">
        <v>16</v>
      </c>
      <c r="H85" s="7">
        <f>(3600/Table2[[#This Row],[CT]])*G85*24</f>
        <v>46080</v>
      </c>
      <c r="I85" s="7">
        <f>Table2[[#This Row],[TARGET HARI]]/3</f>
        <v>15360</v>
      </c>
      <c r="J85" s="6"/>
    </row>
    <row r="86" spans="1:10">
      <c r="A86" t="s">
        <v>257</v>
      </c>
      <c r="B86" t="s">
        <v>258</v>
      </c>
      <c r="C86" s="6" t="s">
        <v>19</v>
      </c>
      <c r="D86" s="6">
        <v>64</v>
      </c>
      <c r="E86" s="6">
        <v>40</v>
      </c>
      <c r="F86" s="6">
        <v>30</v>
      </c>
      <c r="G86" s="6">
        <v>8</v>
      </c>
      <c r="H86" s="7">
        <f>(3600/Table2[[#This Row],[CT]])*G86*24</f>
        <v>23040</v>
      </c>
      <c r="I86" s="7">
        <f>Table2[[#This Row],[TARGET HARI]]/3</f>
        <v>7680</v>
      </c>
      <c r="J86" s="6"/>
    </row>
    <row r="87" spans="1:10">
      <c r="A87" t="s">
        <v>259</v>
      </c>
      <c r="B87" t="s">
        <v>260</v>
      </c>
      <c r="C87" s="6" t="s">
        <v>19</v>
      </c>
      <c r="D87" s="6">
        <v>540</v>
      </c>
      <c r="E87" s="6">
        <v>26</v>
      </c>
      <c r="F87" s="6">
        <v>28</v>
      </c>
      <c r="G87" s="6">
        <v>8</v>
      </c>
      <c r="H87" s="7">
        <f>(3600/Table2[[#This Row],[CT]])*G87*24</f>
        <v>24685.71428571429</v>
      </c>
      <c r="I87" s="7">
        <f>Table2[[#This Row],[TARGET HARI]]/3</f>
        <v>8228.5714285714294</v>
      </c>
      <c r="J87" s="6"/>
    </row>
    <row r="88" spans="1:10">
      <c r="A88" t="s">
        <v>261</v>
      </c>
      <c r="B88" t="s">
        <v>262</v>
      </c>
      <c r="C88" s="6" t="s">
        <v>19</v>
      </c>
      <c r="D88" s="6">
        <v>0</v>
      </c>
      <c r="E88" s="6">
        <v>23.5</v>
      </c>
      <c r="F88" s="6">
        <v>27</v>
      </c>
      <c r="G88" s="6">
        <v>16</v>
      </c>
      <c r="H88" s="7">
        <f>(3600/Table2[[#This Row],[CT]])*G88*24</f>
        <v>51200</v>
      </c>
      <c r="I88" s="7">
        <f>Table2[[#This Row],[TARGET HARI]]/3</f>
        <v>17066.666666666668</v>
      </c>
      <c r="J88" s="6"/>
    </row>
    <row r="89" spans="1:10">
      <c r="A89" t="s">
        <v>263</v>
      </c>
      <c r="B89" t="s">
        <v>264</v>
      </c>
      <c r="C89" s="6" t="s">
        <v>19</v>
      </c>
      <c r="D89" s="6">
        <v>0</v>
      </c>
      <c r="E89" s="6">
        <v>23.5</v>
      </c>
      <c r="F89" s="6">
        <v>30</v>
      </c>
      <c r="G89" s="6">
        <v>16</v>
      </c>
      <c r="H89" s="7">
        <f>(3600/Table2[[#This Row],[CT]])*G89*24</f>
        <v>46080</v>
      </c>
      <c r="I89" s="7">
        <f>Table2[[#This Row],[TARGET HARI]]/3</f>
        <v>15360</v>
      </c>
      <c r="J89" s="6"/>
    </row>
    <row r="90" spans="1:10">
      <c r="A90" t="s">
        <v>265</v>
      </c>
      <c r="B90" t="s">
        <v>266</v>
      </c>
      <c r="C90" s="6" t="s">
        <v>19</v>
      </c>
      <c r="D90" s="6">
        <v>0</v>
      </c>
      <c r="E90" s="6">
        <v>23.5</v>
      </c>
      <c r="F90" s="6">
        <v>30</v>
      </c>
      <c r="G90" s="6">
        <v>16</v>
      </c>
      <c r="H90" s="7">
        <f>(3600/Table2[[#This Row],[CT]])*G90*24</f>
        <v>46080</v>
      </c>
      <c r="I90" s="7">
        <f>Table2[[#This Row],[TARGET HARI]]/3</f>
        <v>15360</v>
      </c>
      <c r="J90" s="6"/>
    </row>
    <row r="91" spans="1:10">
      <c r="A91" t="s">
        <v>267</v>
      </c>
      <c r="B91" t="s">
        <v>268</v>
      </c>
      <c r="C91" s="6" t="s">
        <v>19</v>
      </c>
      <c r="D91" s="6">
        <v>1170</v>
      </c>
      <c r="E91" s="6">
        <v>23.5</v>
      </c>
      <c r="F91" s="6">
        <v>30</v>
      </c>
      <c r="G91" s="6">
        <v>16</v>
      </c>
      <c r="H91" s="7">
        <f>(3600/Table2[[#This Row],[CT]])*G91*24</f>
        <v>46080</v>
      </c>
      <c r="I91" s="7">
        <f>Table2[[#This Row],[TARGET HARI]]/3</f>
        <v>15360</v>
      </c>
      <c r="J91" s="6">
        <v>1075</v>
      </c>
    </row>
    <row r="92" spans="1:10">
      <c r="A92" t="s">
        <v>269</v>
      </c>
      <c r="B92" t="s">
        <v>270</v>
      </c>
      <c r="C92" s="6" t="s">
        <v>19</v>
      </c>
      <c r="D92" s="6">
        <v>0</v>
      </c>
      <c r="E92" s="6">
        <v>23.5</v>
      </c>
      <c r="F92" s="6">
        <v>28</v>
      </c>
      <c r="G92" s="6">
        <v>16</v>
      </c>
      <c r="H92" s="7">
        <f>(3600/Table2[[#This Row],[CT]])*G92*24</f>
        <v>49371.42857142858</v>
      </c>
      <c r="I92" s="7">
        <f>Table2[[#This Row],[TARGET HARI]]/3</f>
        <v>16457.142857142859</v>
      </c>
      <c r="J92" s="6"/>
    </row>
    <row r="93" spans="1:10">
      <c r="A93" t="s">
        <v>271</v>
      </c>
      <c r="B93" t="s">
        <v>272</v>
      </c>
      <c r="C93" s="6" t="s">
        <v>19</v>
      </c>
      <c r="D93" s="6">
        <v>900</v>
      </c>
      <c r="E93" s="6">
        <v>23.5</v>
      </c>
      <c r="F93" s="6">
        <v>28</v>
      </c>
      <c r="G93" s="6">
        <v>16</v>
      </c>
      <c r="H93" s="7">
        <f>(3600/Table2[[#This Row],[CT]])*G93*24</f>
        <v>49371.42857142858</v>
      </c>
      <c r="I93" s="7">
        <f>Table2[[#This Row],[TARGET HARI]]/3</f>
        <v>16457.142857142859</v>
      </c>
      <c r="J93" s="6"/>
    </row>
    <row r="94" spans="1:10">
      <c r="A94" t="s">
        <v>273</v>
      </c>
      <c r="B94" t="s">
        <v>274</v>
      </c>
      <c r="C94" s="6" t="s">
        <v>19</v>
      </c>
      <c r="D94" s="6">
        <v>0</v>
      </c>
      <c r="E94" s="6">
        <v>23.5</v>
      </c>
      <c r="F94" s="6">
        <v>28</v>
      </c>
      <c r="G94" s="6">
        <v>16</v>
      </c>
      <c r="H94" s="7">
        <f>(3600/Table2[[#This Row],[CT]])*G94*24</f>
        <v>49371.42857142858</v>
      </c>
      <c r="I94" s="7">
        <f>Table2[[#This Row],[TARGET HARI]]/3</f>
        <v>16457.142857142859</v>
      </c>
      <c r="J94" s="6"/>
    </row>
    <row r="95" spans="1:10">
      <c r="A95" t="s">
        <v>275</v>
      </c>
      <c r="B95" t="s">
        <v>276</v>
      </c>
      <c r="C95" s="6" t="s">
        <v>19</v>
      </c>
      <c r="D95" s="6">
        <v>0</v>
      </c>
      <c r="E95" s="6">
        <v>23.5</v>
      </c>
      <c r="F95" s="6">
        <v>30</v>
      </c>
      <c r="G95" s="6">
        <v>16</v>
      </c>
      <c r="H95" s="7">
        <f>(3600/Table2[[#This Row],[CT]])*G95*24</f>
        <v>46080</v>
      </c>
      <c r="I95" s="7">
        <f>Table2[[#This Row],[TARGET HARI]]/3</f>
        <v>15360</v>
      </c>
      <c r="J95" s="6"/>
    </row>
    <row r="96" spans="1:10">
      <c r="A96" t="s">
        <v>277</v>
      </c>
      <c r="B96" t="s">
        <v>278</v>
      </c>
      <c r="C96" s="6" t="s">
        <v>19</v>
      </c>
      <c r="D96" s="6">
        <v>1200</v>
      </c>
      <c r="E96" s="6">
        <v>23</v>
      </c>
      <c r="F96" s="6">
        <v>32</v>
      </c>
      <c r="G96" s="6">
        <v>32</v>
      </c>
      <c r="H96" s="7">
        <f>(3600/Table2[[#This Row],[CT]])*G96*24</f>
        <v>86400</v>
      </c>
      <c r="I96" s="7">
        <f>Table2[[#This Row],[TARGET HARI]]/3</f>
        <v>28800</v>
      </c>
      <c r="J96" s="6"/>
    </row>
    <row r="97" spans="1:10">
      <c r="A97" t="s">
        <v>279</v>
      </c>
      <c r="B97" t="s">
        <v>280</v>
      </c>
      <c r="C97" s="6" t="s">
        <v>19</v>
      </c>
      <c r="D97" s="6">
        <v>0</v>
      </c>
      <c r="E97" s="6">
        <v>50.5</v>
      </c>
      <c r="F97" s="6">
        <v>45</v>
      </c>
      <c r="G97" s="6">
        <v>8</v>
      </c>
      <c r="H97" s="7">
        <f>(3600/Table2[[#This Row],[CT]])*G97*24</f>
        <v>15360</v>
      </c>
      <c r="I97" s="7">
        <f>Table2[[#This Row],[TARGET HARI]]/3</f>
        <v>5120</v>
      </c>
      <c r="J97" s="6"/>
    </row>
    <row r="98" spans="1:10">
      <c r="A98" t="s">
        <v>281</v>
      </c>
      <c r="B98" t="s">
        <v>282</v>
      </c>
      <c r="C98" s="6" t="s">
        <v>19</v>
      </c>
      <c r="D98" s="6">
        <v>0</v>
      </c>
      <c r="E98" s="6">
        <v>9</v>
      </c>
      <c r="F98" s="6">
        <v>28</v>
      </c>
      <c r="G98" s="6">
        <v>32</v>
      </c>
      <c r="H98" s="7">
        <f>(3600/Table2[[#This Row],[CT]])*G98*24</f>
        <v>98742.857142857159</v>
      </c>
      <c r="I98" s="7">
        <f>Table2[[#This Row],[TARGET HARI]]/3</f>
        <v>32914.285714285717</v>
      </c>
      <c r="J98" s="6"/>
    </row>
    <row r="99" spans="1:10">
      <c r="A99" t="s">
        <v>283</v>
      </c>
      <c r="B99" t="s">
        <v>284</v>
      </c>
      <c r="C99" s="6" t="s">
        <v>19</v>
      </c>
      <c r="D99" s="6">
        <v>0</v>
      </c>
      <c r="E99" s="6">
        <v>9</v>
      </c>
      <c r="F99" s="6">
        <v>28</v>
      </c>
      <c r="G99" s="6">
        <v>32</v>
      </c>
      <c r="H99" s="7">
        <f>(3600/Table2[[#This Row],[CT]])*G99*24</f>
        <v>98742.857142857159</v>
      </c>
      <c r="I99" s="7">
        <f>Table2[[#This Row],[TARGET HARI]]/3</f>
        <v>32914.285714285717</v>
      </c>
      <c r="J99" s="6"/>
    </row>
    <row r="100" spans="1:10">
      <c r="A100" t="s">
        <v>285</v>
      </c>
      <c r="B100" t="s">
        <v>286</v>
      </c>
      <c r="C100" s="6" t="s">
        <v>19</v>
      </c>
      <c r="D100" s="6">
        <v>0</v>
      </c>
      <c r="E100" s="6">
        <v>9</v>
      </c>
      <c r="F100" s="6">
        <v>28</v>
      </c>
      <c r="G100" s="6">
        <v>32</v>
      </c>
      <c r="H100" s="7">
        <f>(3600/Table2[[#This Row],[CT]])*G100*24</f>
        <v>98742.857142857159</v>
      </c>
      <c r="I100" s="7">
        <f>Table2[[#This Row],[TARGET HARI]]/3</f>
        <v>32914.285714285717</v>
      </c>
      <c r="J100" s="6"/>
    </row>
    <row r="101" spans="1:10">
      <c r="A101" t="s">
        <v>287</v>
      </c>
      <c r="B101" t="s">
        <v>288</v>
      </c>
      <c r="C101" s="6" t="s">
        <v>19</v>
      </c>
      <c r="D101" s="6">
        <v>2952</v>
      </c>
      <c r="E101" s="6">
        <v>8.5</v>
      </c>
      <c r="F101" s="6">
        <v>30</v>
      </c>
      <c r="G101" s="6">
        <v>32</v>
      </c>
      <c r="H101" s="7">
        <f>(3600/Table2[[#This Row],[CT]])*G101*24</f>
        <v>92160</v>
      </c>
      <c r="I101" s="7">
        <f>Table2[[#This Row],[TARGET HARI]]/3</f>
        <v>30720</v>
      </c>
      <c r="J101" s="6">
        <v>395</v>
      </c>
    </row>
    <row r="102" spans="1:10">
      <c r="A102" t="s">
        <v>289</v>
      </c>
      <c r="B102" t="s">
        <v>290</v>
      </c>
      <c r="C102" s="6" t="s">
        <v>19</v>
      </c>
      <c r="D102" s="6">
        <v>2952</v>
      </c>
      <c r="E102" s="6">
        <v>8.5</v>
      </c>
      <c r="F102" s="6">
        <v>30</v>
      </c>
      <c r="G102" s="6">
        <v>32</v>
      </c>
      <c r="H102" s="7">
        <f>(3600/Table2[[#This Row],[CT]])*G102*24</f>
        <v>92160</v>
      </c>
      <c r="I102" s="7">
        <f>Table2[[#This Row],[TARGET HARI]]/3</f>
        <v>30720</v>
      </c>
      <c r="J102" s="6">
        <v>400</v>
      </c>
    </row>
    <row r="103" spans="1:10">
      <c r="A103" t="s">
        <v>291</v>
      </c>
      <c r="B103" t="s">
        <v>292</v>
      </c>
      <c r="C103" s="6" t="s">
        <v>19</v>
      </c>
      <c r="D103" s="6">
        <v>0</v>
      </c>
      <c r="E103" s="6">
        <v>23.5</v>
      </c>
      <c r="F103" s="6">
        <v>35</v>
      </c>
      <c r="G103" s="6">
        <v>16</v>
      </c>
      <c r="H103" s="7">
        <f>(3600/Table2[[#This Row],[CT]])*G103*24</f>
        <v>39497.142857142855</v>
      </c>
      <c r="I103" s="7">
        <f>Table2[[#This Row],[TARGET HARI]]/3</f>
        <v>13165.714285714284</v>
      </c>
      <c r="J103" s="6"/>
    </row>
    <row r="104" spans="1:10">
      <c r="A104" t="s">
        <v>293</v>
      </c>
      <c r="B104" t="s">
        <v>294</v>
      </c>
      <c r="C104" s="6" t="s">
        <v>19</v>
      </c>
      <c r="D104" s="6">
        <v>648</v>
      </c>
      <c r="E104" s="6">
        <v>31</v>
      </c>
      <c r="F104" s="6">
        <v>22</v>
      </c>
      <c r="G104" s="6">
        <v>8</v>
      </c>
      <c r="H104" s="7">
        <f>(3600/Table2[[#This Row],[CT]])*G104*24</f>
        <v>31418.181818181816</v>
      </c>
      <c r="I104" s="7">
        <f>Table2[[#This Row],[TARGET HARI]]/3</f>
        <v>10472.727272727272</v>
      </c>
      <c r="J104" s="6"/>
    </row>
    <row r="105" spans="1:10">
      <c r="A105" t="s">
        <v>295</v>
      </c>
      <c r="B105" t="s">
        <v>296</v>
      </c>
      <c r="C105" s="6" t="s">
        <v>19</v>
      </c>
      <c r="D105" s="6">
        <v>414</v>
      </c>
      <c r="E105" s="6">
        <v>27</v>
      </c>
      <c r="F105" s="6">
        <v>30</v>
      </c>
      <c r="G105" s="6">
        <v>16</v>
      </c>
      <c r="H105" s="7">
        <f>(3600/Table2[[#This Row],[CT]])*G105*24</f>
        <v>46080</v>
      </c>
      <c r="I105" s="7">
        <f>Table2[[#This Row],[TARGET HARI]]/3</f>
        <v>15360</v>
      </c>
      <c r="J105" s="6"/>
    </row>
    <row r="106" spans="1:10">
      <c r="A106" t="s">
        <v>297</v>
      </c>
      <c r="B106" t="s">
        <v>298</v>
      </c>
      <c r="C106" s="6" t="s">
        <v>19</v>
      </c>
      <c r="D106" s="6">
        <v>540</v>
      </c>
      <c r="E106" s="6">
        <v>26</v>
      </c>
      <c r="F106" s="6">
        <v>30</v>
      </c>
      <c r="G106" s="6">
        <v>16</v>
      </c>
      <c r="H106" s="7">
        <f>(3600/Table2[[#This Row],[CT]])*G106*24</f>
        <v>46080</v>
      </c>
      <c r="I106" s="7">
        <f>Table2[[#This Row],[TARGET HARI]]/3</f>
        <v>15360</v>
      </c>
      <c r="J106" s="6"/>
    </row>
    <row r="107" spans="1:10">
      <c r="A107" t="s">
        <v>299</v>
      </c>
      <c r="B107" t="s">
        <v>300</v>
      </c>
      <c r="C107" s="6" t="s">
        <v>19</v>
      </c>
      <c r="D107" s="6">
        <v>1170</v>
      </c>
      <c r="E107" s="6">
        <v>20</v>
      </c>
      <c r="F107" s="6">
        <v>30</v>
      </c>
      <c r="G107" s="6">
        <v>16</v>
      </c>
      <c r="H107" s="7">
        <f>(3600/Table2[[#This Row],[CT]])*G107*24</f>
        <v>46080</v>
      </c>
      <c r="I107" s="7">
        <f>Table2[[#This Row],[TARGET HARI]]/3</f>
        <v>15360</v>
      </c>
      <c r="J107" s="6"/>
    </row>
    <row r="108" spans="1:10">
      <c r="A108" t="s">
        <v>301</v>
      </c>
      <c r="B108" t="s">
        <v>302</v>
      </c>
      <c r="C108" s="6" t="s">
        <v>19</v>
      </c>
      <c r="D108" s="6">
        <v>1170</v>
      </c>
      <c r="E108" s="6">
        <v>23.5</v>
      </c>
      <c r="F108" s="6">
        <v>30</v>
      </c>
      <c r="G108" s="6">
        <v>32</v>
      </c>
      <c r="H108" s="7">
        <f>(3600/Table2[[#This Row],[CT]])*G108*24</f>
        <v>92160</v>
      </c>
      <c r="I108" s="7">
        <f>Table2[[#This Row],[TARGET HARI]]/3</f>
        <v>30720</v>
      </c>
      <c r="J108" s="6"/>
    </row>
    <row r="109" spans="1:10">
      <c r="A109" t="s">
        <v>303</v>
      </c>
      <c r="B109" t="s">
        <v>304</v>
      </c>
      <c r="C109" s="6" t="s">
        <v>19</v>
      </c>
      <c r="D109" s="6">
        <v>0</v>
      </c>
      <c r="E109" s="6">
        <v>23.5</v>
      </c>
      <c r="F109" s="6">
        <v>30</v>
      </c>
      <c r="G109" s="6">
        <v>16</v>
      </c>
      <c r="H109" s="7">
        <f>(3600/Table2[[#This Row],[CT]])*G109*24</f>
        <v>46080</v>
      </c>
      <c r="I109" s="7">
        <f>Table2[[#This Row],[TARGET HARI]]/3</f>
        <v>15360</v>
      </c>
      <c r="J109" s="6"/>
    </row>
    <row r="110" spans="1:10">
      <c r="A110" t="s">
        <v>305</v>
      </c>
      <c r="B110" t="s">
        <v>306</v>
      </c>
      <c r="C110" s="6" t="s">
        <v>19</v>
      </c>
      <c r="D110" s="6">
        <v>1170</v>
      </c>
      <c r="E110" s="6">
        <v>23.5</v>
      </c>
      <c r="F110" s="6">
        <v>28</v>
      </c>
      <c r="G110" s="6">
        <v>16</v>
      </c>
      <c r="H110" s="7">
        <f>(3600/Table2[[#This Row],[CT]])*G110*24</f>
        <v>49371.42857142858</v>
      </c>
      <c r="I110" s="7">
        <f>Table2[[#This Row],[TARGET HARI]]/3</f>
        <v>16457.142857142859</v>
      </c>
      <c r="J110" s="6"/>
    </row>
    <row r="111" spans="1:10">
      <c r="A111" t="s">
        <v>307</v>
      </c>
      <c r="B111" t="s">
        <v>308</v>
      </c>
      <c r="C111" s="6" t="s">
        <v>19</v>
      </c>
      <c r="D111" s="6">
        <v>1500</v>
      </c>
      <c r="E111" s="6">
        <v>13.5</v>
      </c>
      <c r="F111" s="6">
        <v>25</v>
      </c>
      <c r="G111" s="6">
        <v>16</v>
      </c>
      <c r="H111" s="7">
        <f>(3600/Table2[[#This Row],[CT]])*G111*24</f>
        <v>55296</v>
      </c>
      <c r="I111" s="7">
        <f>Table2[[#This Row],[TARGET HARI]]/3</f>
        <v>18432</v>
      </c>
      <c r="J111" s="6"/>
    </row>
    <row r="112" spans="1:10">
      <c r="A112" t="s">
        <v>309</v>
      </c>
      <c r="B112" t="s">
        <v>310</v>
      </c>
      <c r="C112" s="6" t="s">
        <v>19</v>
      </c>
      <c r="D112" s="6">
        <v>1200</v>
      </c>
      <c r="E112" s="6">
        <v>14</v>
      </c>
      <c r="F112" s="6">
        <v>28</v>
      </c>
      <c r="G112" s="6">
        <v>16</v>
      </c>
      <c r="H112" s="7">
        <f>(3600/Table2[[#This Row],[CT]])*G112*24</f>
        <v>49371.42857142858</v>
      </c>
      <c r="I112" s="7">
        <f>Table2[[#This Row],[TARGET HARI]]/3</f>
        <v>16457.142857142859</v>
      </c>
      <c r="J112" s="6"/>
    </row>
    <row r="113" spans="1:10">
      <c r="A113" t="s">
        <v>311</v>
      </c>
      <c r="B113" t="s">
        <v>312</v>
      </c>
      <c r="C113" s="6" t="s">
        <v>19</v>
      </c>
      <c r="D113" s="6">
        <v>1500</v>
      </c>
      <c r="E113" s="6">
        <v>13.5</v>
      </c>
      <c r="F113" s="6">
        <v>28</v>
      </c>
      <c r="G113" s="6">
        <v>16</v>
      </c>
      <c r="H113" s="7">
        <f>(3600/Table2[[#This Row],[CT]])*G113*24</f>
        <v>49371.42857142858</v>
      </c>
      <c r="I113" s="7">
        <f>Table2[[#This Row],[TARGET HARI]]/3</f>
        <v>16457.142857142859</v>
      </c>
      <c r="J113" s="6"/>
    </row>
    <row r="114" spans="1:10">
      <c r="A114" t="s">
        <v>313</v>
      </c>
      <c r="B114" t="s">
        <v>314</v>
      </c>
      <c r="C114" s="6" t="s">
        <v>19</v>
      </c>
      <c r="D114" s="6">
        <v>1200</v>
      </c>
      <c r="E114" s="6">
        <v>14</v>
      </c>
      <c r="F114" s="6">
        <v>25</v>
      </c>
      <c r="G114" s="6">
        <v>16</v>
      </c>
      <c r="H114" s="7">
        <f>(3600/Table2[[#This Row],[CT]])*G114*24</f>
        <v>55296</v>
      </c>
      <c r="I114" s="7">
        <f>Table2[[#This Row],[TARGET HARI]]/3</f>
        <v>18432</v>
      </c>
      <c r="J114" s="6"/>
    </row>
    <row r="115" spans="1:10">
      <c r="A115" t="s">
        <v>315</v>
      </c>
      <c r="B115" t="s">
        <v>316</v>
      </c>
      <c r="C115" s="6" t="s">
        <v>19</v>
      </c>
      <c r="D115" s="6">
        <v>360</v>
      </c>
      <c r="E115" s="6">
        <v>62.5</v>
      </c>
      <c r="F115" s="6">
        <v>35</v>
      </c>
      <c r="G115" s="6">
        <v>8</v>
      </c>
      <c r="H115" s="7">
        <f>(3600/Table2[[#This Row],[CT]])*G115*24</f>
        <v>19748.571428571428</v>
      </c>
      <c r="I115" s="7">
        <f>Table2[[#This Row],[TARGET HARI]]/3</f>
        <v>6582.8571428571422</v>
      </c>
      <c r="J115" s="6"/>
    </row>
    <row r="116" spans="1:10">
      <c r="A116" t="s">
        <v>317</v>
      </c>
      <c r="B116" t="s">
        <v>318</v>
      </c>
      <c r="C116" s="6" t="s">
        <v>19</v>
      </c>
      <c r="D116" s="6">
        <v>0</v>
      </c>
      <c r="E116" s="6">
        <v>23.5</v>
      </c>
      <c r="F116" s="6">
        <v>30</v>
      </c>
      <c r="G116" s="6">
        <v>32</v>
      </c>
      <c r="H116" s="7">
        <f>(3600/Table2[[#This Row],[CT]])*G116*24</f>
        <v>92160</v>
      </c>
      <c r="I116" s="7">
        <f>Table2[[#This Row],[TARGET HARI]]/3</f>
        <v>30720</v>
      </c>
      <c r="J116" s="6"/>
    </row>
    <row r="117" spans="1:10">
      <c r="A117" t="s">
        <v>319</v>
      </c>
      <c r="B117" t="s">
        <v>320</v>
      </c>
      <c r="C117" s="6" t="s">
        <v>19</v>
      </c>
      <c r="D117" s="6">
        <v>1170</v>
      </c>
      <c r="E117" s="6">
        <v>7.5</v>
      </c>
      <c r="F117" s="6">
        <v>25</v>
      </c>
      <c r="G117" s="6">
        <v>12</v>
      </c>
      <c r="H117" s="7">
        <f>(3600/Table2[[#This Row],[CT]])*G117*24</f>
        <v>41472</v>
      </c>
      <c r="I117" s="7">
        <f>Table2[[#This Row],[TARGET HARI]]/3</f>
        <v>13824</v>
      </c>
      <c r="J117" s="6"/>
    </row>
    <row r="118" spans="1:10">
      <c r="A118" t="s">
        <v>321</v>
      </c>
      <c r="B118" t="s">
        <v>322</v>
      </c>
      <c r="C118" s="6" t="s">
        <v>19</v>
      </c>
      <c r="D118" s="6">
        <v>0</v>
      </c>
      <c r="E118" s="6">
        <v>23.5</v>
      </c>
      <c r="F118" s="6">
        <v>27</v>
      </c>
      <c r="H118" s="7">
        <f>(3600/Table2[[#This Row],[CT]])*G118*24</f>
        <v>0</v>
      </c>
      <c r="I118" s="7">
        <f>Table2[[#This Row],[TARGET HARI]]/3</f>
        <v>0</v>
      </c>
      <c r="J118" s="6"/>
    </row>
    <row r="119" spans="1:10">
      <c r="A119" t="s">
        <v>323</v>
      </c>
      <c r="B119" t="s">
        <v>324</v>
      </c>
      <c r="C119" s="6" t="s">
        <v>19</v>
      </c>
      <c r="D119" s="6">
        <v>540</v>
      </c>
      <c r="E119" s="6">
        <v>50</v>
      </c>
      <c r="F119" s="6">
        <v>35</v>
      </c>
      <c r="G119" s="6">
        <v>8</v>
      </c>
      <c r="H119" s="7">
        <f>(3600/Table2[[#This Row],[CT]])*G119*24</f>
        <v>19748.571428571428</v>
      </c>
      <c r="I119" s="7">
        <f>Table2[[#This Row],[TARGET HARI]]/3</f>
        <v>6582.8571428571422</v>
      </c>
      <c r="J119" s="6"/>
    </row>
    <row r="120" spans="1:10">
      <c r="A120" t="s">
        <v>325</v>
      </c>
      <c r="B120" t="s">
        <v>326</v>
      </c>
      <c r="C120" s="6" t="s">
        <v>19</v>
      </c>
      <c r="D120" s="6">
        <v>0</v>
      </c>
      <c r="E120" s="6">
        <v>23.5</v>
      </c>
      <c r="F120" s="6">
        <v>40</v>
      </c>
      <c r="H120" s="7">
        <f>(3600/Table2[[#This Row],[CT]])*G120*24</f>
        <v>0</v>
      </c>
      <c r="I120" s="7">
        <f>Table2[[#This Row],[TARGET HARI]]/3</f>
        <v>0</v>
      </c>
      <c r="J120" s="6"/>
    </row>
    <row r="121" spans="1:10">
      <c r="A121" t="s">
        <v>327</v>
      </c>
      <c r="B121" t="s">
        <v>328</v>
      </c>
      <c r="C121" s="6" t="s">
        <v>19</v>
      </c>
      <c r="D121" s="6">
        <v>0</v>
      </c>
      <c r="E121" s="6">
        <v>23.5</v>
      </c>
      <c r="F121" s="6">
        <v>26</v>
      </c>
      <c r="G121" s="6">
        <v>32</v>
      </c>
      <c r="H121" s="7">
        <f>(3600/Table2[[#This Row],[CT]])*G121*24</f>
        <v>106338.46153846153</v>
      </c>
      <c r="I121" s="7">
        <f>Table2[[#This Row],[TARGET HARI]]/3</f>
        <v>35446.153846153844</v>
      </c>
      <c r="J121" s="6"/>
    </row>
    <row r="122" spans="1:10">
      <c r="A122" t="s">
        <v>329</v>
      </c>
      <c r="B122" t="s">
        <v>330</v>
      </c>
      <c r="C122" s="6" t="s">
        <v>19</v>
      </c>
      <c r="D122" s="6">
        <v>1170</v>
      </c>
      <c r="E122" s="6">
        <v>7.5</v>
      </c>
      <c r="F122" s="6">
        <v>26</v>
      </c>
      <c r="G122" s="6">
        <v>16</v>
      </c>
      <c r="H122" s="7">
        <f>(3600/Table2[[#This Row],[CT]])*G122*24</f>
        <v>53169.230769230766</v>
      </c>
      <c r="I122" s="7">
        <f>Table2[[#This Row],[TARGET HARI]]/3</f>
        <v>17723.076923076922</v>
      </c>
      <c r="J122" s="6"/>
    </row>
    <row r="123" spans="1:10">
      <c r="A123" t="s">
        <v>331</v>
      </c>
      <c r="B123" t="s">
        <v>332</v>
      </c>
      <c r="C123" s="6" t="s">
        <v>19</v>
      </c>
      <c r="D123" s="6">
        <v>0</v>
      </c>
      <c r="E123" s="6">
        <v>23.5</v>
      </c>
      <c r="F123" s="6">
        <v>43</v>
      </c>
      <c r="G123" s="6">
        <v>32</v>
      </c>
      <c r="H123" s="7">
        <f>(3600/Table2[[#This Row],[CT]])*G123*24</f>
        <v>64297.674418604656</v>
      </c>
      <c r="I123" s="7">
        <f>Table2[[#This Row],[TARGET HARI]]/3</f>
        <v>21432.558139534885</v>
      </c>
      <c r="J123" s="6"/>
    </row>
    <row r="124" spans="1:10">
      <c r="A124" t="s">
        <v>333</v>
      </c>
      <c r="B124" t="s">
        <v>334</v>
      </c>
      <c r="C124" s="6" t="s">
        <v>19</v>
      </c>
      <c r="D124" s="6">
        <v>1200</v>
      </c>
      <c r="E124" s="6">
        <v>13</v>
      </c>
      <c r="F124" s="6">
        <v>27</v>
      </c>
      <c r="G124" s="6">
        <v>16</v>
      </c>
      <c r="H124" s="7">
        <f>(3600/Table2[[#This Row],[CT]])*G124*24</f>
        <v>51200</v>
      </c>
      <c r="I124" s="7">
        <f>Table2[[#This Row],[TARGET HARI]]/3</f>
        <v>17066.666666666668</v>
      </c>
      <c r="J124" s="6"/>
    </row>
    <row r="125" spans="1:10">
      <c r="A125" t="s">
        <v>335</v>
      </c>
      <c r="B125" t="s">
        <v>336</v>
      </c>
      <c r="C125" s="6" t="s">
        <v>19</v>
      </c>
      <c r="D125" s="6">
        <v>1200</v>
      </c>
      <c r="E125" s="6">
        <v>13</v>
      </c>
      <c r="F125" s="6">
        <v>26</v>
      </c>
      <c r="G125" s="6">
        <v>16</v>
      </c>
      <c r="H125" s="7">
        <f>(3600/Table2[[#This Row],[CT]])*G125*24</f>
        <v>53169.230769230766</v>
      </c>
      <c r="I125" s="7">
        <f>Table2[[#This Row],[TARGET HARI]]/3</f>
        <v>17723.076923076922</v>
      </c>
      <c r="J125" s="6"/>
    </row>
    <row r="126" spans="1:10">
      <c r="A126" t="s">
        <v>337</v>
      </c>
      <c r="B126" t="s">
        <v>338</v>
      </c>
      <c r="C126" s="6" t="s">
        <v>19</v>
      </c>
      <c r="D126" s="6">
        <v>1200</v>
      </c>
      <c r="E126" s="6">
        <v>13</v>
      </c>
      <c r="F126" s="6">
        <v>30</v>
      </c>
      <c r="G126" s="6">
        <v>32</v>
      </c>
      <c r="H126" s="7">
        <f>(3600/Table2[[#This Row],[CT]])*G126*24</f>
        <v>92160</v>
      </c>
      <c r="I126" s="7">
        <f>Table2[[#This Row],[TARGET HARI]]/3</f>
        <v>30720</v>
      </c>
      <c r="J126" s="6"/>
    </row>
    <row r="127" spans="1:10">
      <c r="A127" t="s">
        <v>339</v>
      </c>
      <c r="B127" t="s">
        <v>340</v>
      </c>
      <c r="C127" s="6" t="s">
        <v>19</v>
      </c>
      <c r="D127" s="6">
        <v>1200</v>
      </c>
      <c r="E127" s="6">
        <v>17</v>
      </c>
      <c r="F127" s="6">
        <v>28</v>
      </c>
      <c r="G127" s="6">
        <v>16</v>
      </c>
      <c r="H127" s="7">
        <f>(3600/Table2[[#This Row],[CT]])*G127*24</f>
        <v>49371.42857142858</v>
      </c>
      <c r="I127" s="7">
        <f>Table2[[#This Row],[TARGET HARI]]/3</f>
        <v>16457.142857142859</v>
      </c>
      <c r="J127" s="6"/>
    </row>
    <row r="128" spans="1:10">
      <c r="A128" t="s">
        <v>341</v>
      </c>
      <c r="B128" t="s">
        <v>342</v>
      </c>
      <c r="C128" s="6" t="s">
        <v>19</v>
      </c>
      <c r="D128" s="6">
        <v>1200</v>
      </c>
      <c r="E128" s="6">
        <v>17</v>
      </c>
      <c r="F128" s="6">
        <v>28</v>
      </c>
      <c r="G128" s="6">
        <v>16</v>
      </c>
      <c r="H128" s="7">
        <f>(3600/Table2[[#This Row],[CT]])*G128*24</f>
        <v>49371.42857142858</v>
      </c>
      <c r="I128" s="7">
        <f>Table2[[#This Row],[TARGET HARI]]/3</f>
        <v>16457.142857142859</v>
      </c>
      <c r="J128" s="6"/>
    </row>
    <row r="129" spans="1:10">
      <c r="A129" t="s">
        <v>343</v>
      </c>
      <c r="B129" t="s">
        <v>344</v>
      </c>
      <c r="C129" s="6" t="s">
        <v>19</v>
      </c>
      <c r="D129" s="6">
        <v>1200</v>
      </c>
      <c r="E129" s="6">
        <v>13</v>
      </c>
      <c r="F129" s="6">
        <v>28</v>
      </c>
      <c r="G129" s="6">
        <v>16</v>
      </c>
      <c r="H129" s="7">
        <f>(3600/Table2[[#This Row],[CT]])*G129*24</f>
        <v>49371.42857142858</v>
      </c>
      <c r="I129" s="7">
        <f>Table2[[#This Row],[TARGET HARI]]/3</f>
        <v>16457.142857142859</v>
      </c>
      <c r="J129" s="6"/>
    </row>
    <row r="130" spans="1:10">
      <c r="A130" t="s">
        <v>345</v>
      </c>
      <c r="B130" t="s">
        <v>346</v>
      </c>
      <c r="C130" s="6" t="s">
        <v>19</v>
      </c>
      <c r="D130" s="6">
        <v>1500</v>
      </c>
      <c r="E130" s="6">
        <v>13.5</v>
      </c>
      <c r="F130" s="6">
        <v>30</v>
      </c>
      <c r="G130" s="6">
        <v>16</v>
      </c>
      <c r="H130" s="7">
        <f>(3600/Table2[[#This Row],[CT]])*G130*24</f>
        <v>46080</v>
      </c>
      <c r="I130" s="7">
        <f>Table2[[#This Row],[TARGET HARI]]/3</f>
        <v>15360</v>
      </c>
      <c r="J130" s="6"/>
    </row>
    <row r="131" spans="1:10">
      <c r="A131" t="s">
        <v>347</v>
      </c>
      <c r="B131" t="s">
        <v>348</v>
      </c>
      <c r="C131" s="6" t="s">
        <v>19</v>
      </c>
      <c r="D131" s="6">
        <v>1170</v>
      </c>
      <c r="E131" s="6">
        <v>8.1999999999999993</v>
      </c>
      <c r="F131" s="6">
        <v>22</v>
      </c>
      <c r="G131" s="6">
        <v>8</v>
      </c>
      <c r="H131" s="7">
        <f>(3600/Table2[[#This Row],[CT]])*G131*24</f>
        <v>31418.181818181816</v>
      </c>
      <c r="I131" s="7">
        <f>Table2[[#This Row],[TARGET HARI]]/3</f>
        <v>10472.727272727272</v>
      </c>
      <c r="J131" s="6"/>
    </row>
    <row r="132" spans="1:10">
      <c r="A132" t="s">
        <v>349</v>
      </c>
      <c r="B132" t="s">
        <v>350</v>
      </c>
      <c r="C132" s="6" t="s">
        <v>19</v>
      </c>
      <c r="D132" s="6">
        <v>1200</v>
      </c>
      <c r="E132" s="6">
        <v>13</v>
      </c>
      <c r="F132" s="6">
        <v>26</v>
      </c>
      <c r="G132" s="6">
        <v>16</v>
      </c>
      <c r="H132" s="7">
        <f>(3600/Table2[[#This Row],[CT]])*G132*24</f>
        <v>53169.230769230766</v>
      </c>
      <c r="I132" s="7">
        <f>Table2[[#This Row],[TARGET HARI]]/3</f>
        <v>17723.076923076922</v>
      </c>
      <c r="J132" s="6"/>
    </row>
    <row r="133" spans="1:10">
      <c r="A133" t="s">
        <v>351</v>
      </c>
      <c r="B133" t="s">
        <v>352</v>
      </c>
      <c r="C133" s="6" t="s">
        <v>19</v>
      </c>
      <c r="D133" s="6">
        <v>0</v>
      </c>
      <c r="E133" s="6">
        <v>13</v>
      </c>
      <c r="F133" s="6">
        <v>30</v>
      </c>
      <c r="G133" s="6">
        <v>16</v>
      </c>
      <c r="H133" s="7">
        <f>(3600/Table2[[#This Row],[CT]])*G133*24</f>
        <v>46080</v>
      </c>
      <c r="I133" s="7">
        <f>Table2[[#This Row],[TARGET HARI]]/3</f>
        <v>15360</v>
      </c>
      <c r="J133" s="6"/>
    </row>
    <row r="134" spans="1:10">
      <c r="A134" t="s">
        <v>353</v>
      </c>
      <c r="B134" t="s">
        <v>354</v>
      </c>
      <c r="C134" s="6" t="s">
        <v>19</v>
      </c>
      <c r="D134" s="6">
        <v>1170</v>
      </c>
      <c r="E134" s="6">
        <v>20</v>
      </c>
      <c r="F134" s="6">
        <v>28</v>
      </c>
      <c r="G134" s="6">
        <v>12</v>
      </c>
      <c r="H134" s="7">
        <f>(3600/Table2[[#This Row],[CT]])*G134*24</f>
        <v>37028.571428571435</v>
      </c>
      <c r="I134" s="7">
        <f>Table2[[#This Row],[TARGET HARI]]/3</f>
        <v>12342.857142857145</v>
      </c>
      <c r="J134" s="6"/>
    </row>
    <row r="135" spans="1:10">
      <c r="A135" t="s">
        <v>355</v>
      </c>
      <c r="B135" t="s">
        <v>356</v>
      </c>
      <c r="C135" s="6" t="s">
        <v>19</v>
      </c>
      <c r="D135" s="6">
        <v>1200</v>
      </c>
      <c r="E135" s="6">
        <v>13</v>
      </c>
      <c r="F135" s="6">
        <v>25</v>
      </c>
      <c r="G135" s="6">
        <v>16</v>
      </c>
      <c r="H135" s="7">
        <f>(3600/Table2[[#This Row],[CT]])*G135*24</f>
        <v>55296</v>
      </c>
      <c r="I135" s="7">
        <f>Table2[[#This Row],[TARGET HARI]]/3</f>
        <v>18432</v>
      </c>
      <c r="J135" s="6"/>
    </row>
    <row r="136" spans="1:10">
      <c r="A136" t="s">
        <v>357</v>
      </c>
      <c r="B136" t="s">
        <v>358</v>
      </c>
      <c r="C136" s="6" t="s">
        <v>19</v>
      </c>
      <c r="D136" s="6">
        <v>1170</v>
      </c>
      <c r="E136" s="6">
        <v>7.5</v>
      </c>
      <c r="F136" s="6">
        <v>26</v>
      </c>
      <c r="G136" s="6">
        <v>16</v>
      </c>
      <c r="H136" s="7">
        <f>(3600/Table2[[#This Row],[CT]])*G136*24</f>
        <v>53169.230769230766</v>
      </c>
      <c r="I136" s="7">
        <f>Table2[[#This Row],[TARGET HARI]]/3</f>
        <v>17723.076923076922</v>
      </c>
      <c r="J136" s="6"/>
    </row>
    <row r="137" spans="1:10">
      <c r="A137" t="s">
        <v>359</v>
      </c>
      <c r="B137" t="s">
        <v>360</v>
      </c>
      <c r="C137" s="6" t="s">
        <v>19</v>
      </c>
      <c r="D137" s="6">
        <v>1170</v>
      </c>
      <c r="E137" s="6">
        <v>7.5</v>
      </c>
      <c r="F137" s="6">
        <v>26</v>
      </c>
      <c r="G137" s="6">
        <v>16</v>
      </c>
      <c r="H137" s="7">
        <f>(3600/Table2[[#This Row],[CT]])*G137*24</f>
        <v>53169.230769230766</v>
      </c>
      <c r="I137" s="7">
        <f>Table2[[#This Row],[TARGET HARI]]/3</f>
        <v>17723.076923076922</v>
      </c>
      <c r="J137" s="6"/>
    </row>
    <row r="138" spans="1:10">
      <c r="A138" t="s">
        <v>361</v>
      </c>
      <c r="B138" t="s">
        <v>362</v>
      </c>
      <c r="C138" s="6" t="s">
        <v>19</v>
      </c>
      <c r="D138" s="6">
        <v>414</v>
      </c>
      <c r="E138" s="6">
        <v>20</v>
      </c>
      <c r="F138" s="6">
        <v>30</v>
      </c>
      <c r="G138" s="6">
        <v>16</v>
      </c>
      <c r="H138" s="7">
        <f>(3600/Table2[[#This Row],[CT]])*G138*24</f>
        <v>46080</v>
      </c>
      <c r="I138" s="7">
        <f>Table2[[#This Row],[TARGET HARI]]/3</f>
        <v>15360</v>
      </c>
      <c r="J138" s="6"/>
    </row>
    <row r="139" spans="1:10">
      <c r="A139" t="s">
        <v>363</v>
      </c>
      <c r="B139" t="s">
        <v>364</v>
      </c>
      <c r="C139" s="6" t="s">
        <v>19</v>
      </c>
      <c r="D139" s="6">
        <v>414</v>
      </c>
      <c r="E139" s="6">
        <v>20</v>
      </c>
      <c r="F139" s="6">
        <v>30</v>
      </c>
      <c r="G139" s="6">
        <v>16</v>
      </c>
      <c r="H139" s="7">
        <f>(3600/Table2[[#This Row],[CT]])*G139*24</f>
        <v>46080</v>
      </c>
      <c r="I139" s="7">
        <f>Table2[[#This Row],[TARGET HARI]]/3</f>
        <v>15360</v>
      </c>
      <c r="J139" s="6"/>
    </row>
    <row r="140" spans="1:10">
      <c r="A140" t="s">
        <v>365</v>
      </c>
      <c r="B140" t="s">
        <v>366</v>
      </c>
      <c r="C140" s="6" t="s">
        <v>19</v>
      </c>
      <c r="D140" s="6">
        <v>0</v>
      </c>
      <c r="E140" s="6">
        <v>21.5</v>
      </c>
      <c r="F140" s="6">
        <v>30</v>
      </c>
      <c r="G140" s="6">
        <v>16</v>
      </c>
      <c r="H140" s="7">
        <f>(3600/Table2[[#This Row],[CT]])*G140*24</f>
        <v>46080</v>
      </c>
      <c r="I140" s="7">
        <f>Table2[[#This Row],[TARGET HARI]]/3</f>
        <v>15360</v>
      </c>
      <c r="J140" s="6"/>
    </row>
    <row r="141" spans="1:10">
      <c r="A141" t="s">
        <v>367</v>
      </c>
      <c r="B141" t="s">
        <v>368</v>
      </c>
      <c r="C141" s="6" t="s">
        <v>19</v>
      </c>
      <c r="D141" s="6">
        <v>0</v>
      </c>
      <c r="E141" s="6">
        <v>23.5</v>
      </c>
      <c r="F141" s="6">
        <v>35</v>
      </c>
      <c r="G141" s="6">
        <v>16</v>
      </c>
      <c r="H141" s="7">
        <f>(3600/Table2[[#This Row],[CT]])*G141*24</f>
        <v>39497.142857142855</v>
      </c>
      <c r="I141" s="7">
        <f>Table2[[#This Row],[TARGET HARI]]/3</f>
        <v>13165.714285714284</v>
      </c>
      <c r="J141" s="6"/>
    </row>
    <row r="142" spans="1:10">
      <c r="A142" t="s">
        <v>369</v>
      </c>
      <c r="B142" t="s">
        <v>370</v>
      </c>
      <c r="C142" s="6" t="s">
        <v>19</v>
      </c>
      <c r="D142" s="6">
        <v>1200</v>
      </c>
      <c r="E142" s="6">
        <v>23</v>
      </c>
      <c r="F142" s="6">
        <v>35</v>
      </c>
      <c r="G142" s="6">
        <v>16</v>
      </c>
      <c r="H142" s="7">
        <f>(3600/Table2[[#This Row],[CT]])*G142*24</f>
        <v>39497.142857142855</v>
      </c>
      <c r="I142" s="7">
        <f>Table2[[#This Row],[TARGET HARI]]/3</f>
        <v>13165.714285714284</v>
      </c>
      <c r="J142" s="6"/>
    </row>
    <row r="143" spans="1:10">
      <c r="A143" t="s">
        <v>371</v>
      </c>
      <c r="B143" t="s">
        <v>372</v>
      </c>
      <c r="C143" s="6" t="s">
        <v>19</v>
      </c>
      <c r="D143" s="6">
        <v>0</v>
      </c>
      <c r="E143" s="6">
        <v>23.5</v>
      </c>
      <c r="F143" s="6">
        <v>35</v>
      </c>
      <c r="G143" s="6">
        <v>16</v>
      </c>
      <c r="H143" s="7">
        <f>(3600/Table2[[#This Row],[CT]])*G143*24</f>
        <v>39497.142857142855</v>
      </c>
      <c r="I143" s="7">
        <f>Table2[[#This Row],[TARGET HARI]]/3</f>
        <v>13165.714285714284</v>
      </c>
      <c r="J143" s="6"/>
    </row>
    <row r="144" spans="1:10">
      <c r="A144" t="s">
        <v>373</v>
      </c>
      <c r="B144" t="s">
        <v>374</v>
      </c>
      <c r="C144" s="6" t="s">
        <v>19</v>
      </c>
      <c r="D144" s="6">
        <v>0</v>
      </c>
      <c r="E144" s="6">
        <v>46</v>
      </c>
      <c r="F144" s="6">
        <v>28</v>
      </c>
      <c r="G144" s="6">
        <v>4</v>
      </c>
      <c r="H144" s="7">
        <f>(3600/Table2[[#This Row],[CT]])*G144*24</f>
        <v>12342.857142857145</v>
      </c>
      <c r="I144" s="7">
        <f>Table2[[#This Row],[TARGET HARI]]/3</f>
        <v>4114.2857142857147</v>
      </c>
      <c r="J144" s="6"/>
    </row>
    <row r="145" spans="1:10">
      <c r="A145" t="s">
        <v>375</v>
      </c>
      <c r="B145" t="s">
        <v>376</v>
      </c>
      <c r="C145" s="6" t="s">
        <v>19</v>
      </c>
      <c r="D145" s="6">
        <v>750</v>
      </c>
      <c r="E145" s="6">
        <v>50</v>
      </c>
      <c r="F145" s="6">
        <v>25</v>
      </c>
      <c r="G145" s="6">
        <v>8</v>
      </c>
      <c r="H145" s="7">
        <f>(3600/Table2[[#This Row],[CT]])*G145*24</f>
        <v>27648</v>
      </c>
      <c r="I145" s="7">
        <f>Table2[[#This Row],[TARGET HARI]]/3</f>
        <v>9216</v>
      </c>
      <c r="J145" s="6"/>
    </row>
    <row r="146" spans="1:10">
      <c r="A146" t="s">
        <v>377</v>
      </c>
      <c r="B146" t="s">
        <v>378</v>
      </c>
      <c r="C146" s="6" t="s">
        <v>19</v>
      </c>
      <c r="D146" s="6">
        <v>1200</v>
      </c>
      <c r="E146" s="6">
        <v>13</v>
      </c>
      <c r="F146" s="6">
        <v>28</v>
      </c>
      <c r="G146" s="6">
        <v>14</v>
      </c>
      <c r="H146" s="7">
        <f>(3600/Table2[[#This Row],[CT]])*G146*24</f>
        <v>43200.000000000007</v>
      </c>
      <c r="I146" s="7">
        <f>Table2[[#This Row],[TARGET HARI]]/3</f>
        <v>14400.000000000002</v>
      </c>
      <c r="J146" s="6"/>
    </row>
    <row r="147" spans="1:10">
      <c r="A147" t="s">
        <v>379</v>
      </c>
      <c r="B147" t="s">
        <v>380</v>
      </c>
      <c r="C147" s="6" t="s">
        <v>19</v>
      </c>
      <c r="D147" s="6">
        <v>648</v>
      </c>
      <c r="E147" s="6">
        <v>31</v>
      </c>
      <c r="F147" s="6">
        <v>28</v>
      </c>
      <c r="G147" s="6">
        <v>8</v>
      </c>
      <c r="H147" s="7">
        <f>(3600/Table2[[#This Row],[CT]])*G147*24</f>
        <v>24685.71428571429</v>
      </c>
      <c r="I147" s="7">
        <f>Table2[[#This Row],[TARGET HARI]]/3</f>
        <v>8228.5714285714294</v>
      </c>
      <c r="J147" s="6"/>
    </row>
    <row r="148" spans="1:10">
      <c r="A148" t="s">
        <v>381</v>
      </c>
      <c r="B148" t="s">
        <v>382</v>
      </c>
      <c r="C148" s="6" t="s">
        <v>19</v>
      </c>
      <c r="D148" s="6">
        <v>1500</v>
      </c>
      <c r="E148" s="6">
        <v>13</v>
      </c>
      <c r="F148" s="6">
        <v>27</v>
      </c>
      <c r="G148" s="6">
        <v>16</v>
      </c>
      <c r="H148" s="7">
        <f>(3600/Table2[[#This Row],[CT]])*G148*24</f>
        <v>51200</v>
      </c>
      <c r="I148" s="7">
        <f>Table2[[#This Row],[TARGET HARI]]/3</f>
        <v>17066.666666666668</v>
      </c>
      <c r="J148" s="6"/>
    </row>
    <row r="149" spans="1:10">
      <c r="A149" t="s">
        <v>383</v>
      </c>
      <c r="B149" t="s">
        <v>384</v>
      </c>
      <c r="C149" s="6" t="s">
        <v>19</v>
      </c>
      <c r="D149" s="6">
        <v>1500</v>
      </c>
      <c r="E149" s="6">
        <v>13.5</v>
      </c>
      <c r="F149" s="6">
        <v>24</v>
      </c>
      <c r="G149" s="6">
        <v>16</v>
      </c>
      <c r="H149" s="7">
        <f>(3600/Table2[[#This Row],[CT]])*G149*24</f>
        <v>57600</v>
      </c>
      <c r="I149" s="7">
        <f>Table2[[#This Row],[TARGET HARI]]/3</f>
        <v>19200</v>
      </c>
      <c r="J149" s="6"/>
    </row>
    <row r="150" spans="1:10">
      <c r="A150" t="s">
        <v>385</v>
      </c>
      <c r="B150" t="s">
        <v>386</v>
      </c>
      <c r="C150" s="6" t="s">
        <v>19</v>
      </c>
      <c r="D150" s="6">
        <v>1500</v>
      </c>
      <c r="E150" s="6">
        <v>13.5</v>
      </c>
      <c r="F150" s="6">
        <v>24</v>
      </c>
      <c r="G150" s="6">
        <v>14</v>
      </c>
      <c r="H150" s="7">
        <f>(3600/Table2[[#This Row],[CT]])*G150*24</f>
        <v>50400</v>
      </c>
      <c r="I150" s="7">
        <f>Table2[[#This Row],[TARGET HARI]]/3</f>
        <v>16800</v>
      </c>
      <c r="J150" s="6"/>
    </row>
    <row r="151" spans="1:10">
      <c r="A151" t="s">
        <v>387</v>
      </c>
      <c r="B151" t="s">
        <v>388</v>
      </c>
      <c r="C151" s="6" t="s">
        <v>19</v>
      </c>
      <c r="D151" s="6">
        <v>800</v>
      </c>
      <c r="E151" s="6">
        <v>31</v>
      </c>
      <c r="F151" s="6">
        <v>25</v>
      </c>
      <c r="G151" s="6">
        <v>8</v>
      </c>
      <c r="H151" s="7">
        <f>(3600/Table2[[#This Row],[CT]])*G151*24</f>
        <v>27648</v>
      </c>
      <c r="I151" s="7">
        <f>Table2[[#This Row],[TARGET HARI]]/3</f>
        <v>9216</v>
      </c>
      <c r="J151" s="6"/>
    </row>
    <row r="152" spans="1:10">
      <c r="A152" t="s">
        <v>389</v>
      </c>
      <c r="B152" t="s">
        <v>390</v>
      </c>
      <c r="C152" s="6" t="s">
        <v>19</v>
      </c>
      <c r="D152" s="6">
        <v>800</v>
      </c>
      <c r="E152" s="6">
        <v>31</v>
      </c>
      <c r="F152" s="6">
        <v>25</v>
      </c>
      <c r="G152" s="6">
        <v>8</v>
      </c>
      <c r="H152" s="7">
        <f>(3600/Table2[[#This Row],[CT]])*G152*24</f>
        <v>27648</v>
      </c>
      <c r="I152" s="7">
        <f>Table2[[#This Row],[TARGET HARI]]/3</f>
        <v>9216</v>
      </c>
      <c r="J152" s="6"/>
    </row>
    <row r="153" spans="1:10">
      <c r="A153" t="s">
        <v>391</v>
      </c>
      <c r="B153" t="s">
        <v>392</v>
      </c>
      <c r="C153" s="6" t="s">
        <v>19</v>
      </c>
      <c r="D153" s="6">
        <v>648</v>
      </c>
      <c r="E153" s="6">
        <v>30.5</v>
      </c>
      <c r="F153" s="6">
        <v>28</v>
      </c>
      <c r="G153" s="6">
        <v>8</v>
      </c>
      <c r="H153" s="7">
        <f>(3600/Table2[[#This Row],[CT]])*G153*24</f>
        <v>24685.71428571429</v>
      </c>
      <c r="I153" s="7">
        <f>Table2[[#This Row],[TARGET HARI]]/3</f>
        <v>8228.5714285714294</v>
      </c>
      <c r="J153" s="6"/>
    </row>
    <row r="154" spans="1:10">
      <c r="A154" t="s">
        <v>393</v>
      </c>
      <c r="B154" t="s">
        <v>394</v>
      </c>
      <c r="C154" s="6" t="s">
        <v>19</v>
      </c>
      <c r="D154" s="6">
        <v>648</v>
      </c>
      <c r="E154" s="6">
        <v>31</v>
      </c>
      <c r="F154" s="6">
        <v>22</v>
      </c>
      <c r="G154" s="6">
        <v>8</v>
      </c>
      <c r="H154" s="7">
        <f>(3600/Table2[[#This Row],[CT]])*G154*24</f>
        <v>31418.181818181816</v>
      </c>
      <c r="I154" s="7">
        <f>Table2[[#This Row],[TARGET HARI]]/3</f>
        <v>10472.727272727272</v>
      </c>
      <c r="J154" s="6"/>
    </row>
    <row r="155" spans="1:10">
      <c r="A155" t="s">
        <v>395</v>
      </c>
      <c r="B155" t="s">
        <v>396</v>
      </c>
      <c r="C155" s="6" t="s">
        <v>19</v>
      </c>
      <c r="D155" s="6">
        <v>648</v>
      </c>
      <c r="E155" s="6">
        <v>30.5</v>
      </c>
      <c r="F155" s="6">
        <v>24</v>
      </c>
      <c r="G155" s="6">
        <v>8</v>
      </c>
      <c r="H155" s="7">
        <f>(3600/Table2[[#This Row],[CT]])*G155*24</f>
        <v>28800</v>
      </c>
      <c r="I155" s="7">
        <f>Table2[[#This Row],[TARGET HARI]]/3</f>
        <v>9600</v>
      </c>
      <c r="J155" s="6"/>
    </row>
    <row r="156" spans="1:10">
      <c r="A156" t="s">
        <v>397</v>
      </c>
      <c r="B156" t="s">
        <v>398</v>
      </c>
      <c r="C156" s="6" t="s">
        <v>19</v>
      </c>
      <c r="D156" s="6">
        <v>800</v>
      </c>
      <c r="E156" s="6">
        <v>31</v>
      </c>
      <c r="F156" s="6">
        <v>25</v>
      </c>
      <c r="G156" s="6">
        <v>8</v>
      </c>
      <c r="H156" s="7">
        <f>(3600/Table2[[#This Row],[CT]])*G156*24</f>
        <v>27648</v>
      </c>
      <c r="I156" s="7">
        <f>Table2[[#This Row],[TARGET HARI]]/3</f>
        <v>9216</v>
      </c>
      <c r="J156" s="6"/>
    </row>
    <row r="157" spans="1:10">
      <c r="A157" t="s">
        <v>399</v>
      </c>
      <c r="B157" t="s">
        <v>400</v>
      </c>
      <c r="C157" s="6" t="s">
        <v>19</v>
      </c>
      <c r="D157" s="6">
        <v>1200</v>
      </c>
      <c r="E157" s="6">
        <v>13</v>
      </c>
      <c r="F157" s="6">
        <v>28</v>
      </c>
      <c r="G157" s="6">
        <v>16</v>
      </c>
      <c r="H157" s="7">
        <f>(3600/Table2[[#This Row],[CT]])*G157*24</f>
        <v>49371.42857142858</v>
      </c>
      <c r="I157" s="7">
        <f>Table2[[#This Row],[TARGET HARI]]/3</f>
        <v>16457.142857142859</v>
      </c>
      <c r="J157" s="6"/>
    </row>
    <row r="158" spans="1:10">
      <c r="A158" t="s">
        <v>401</v>
      </c>
      <c r="B158" t="s">
        <v>402</v>
      </c>
      <c r="C158" s="6" t="s">
        <v>19</v>
      </c>
      <c r="D158" s="6">
        <v>1200</v>
      </c>
      <c r="E158" s="6">
        <v>13</v>
      </c>
      <c r="F158" s="6">
        <v>25</v>
      </c>
      <c r="G158" s="6">
        <v>16</v>
      </c>
      <c r="H158" s="7">
        <f>(3600/Table2[[#This Row],[CT]])*G158*24</f>
        <v>55296</v>
      </c>
      <c r="I158" s="7">
        <f>Table2[[#This Row],[TARGET HARI]]/3</f>
        <v>18432</v>
      </c>
      <c r="J158" s="6"/>
    </row>
    <row r="159" spans="1:10">
      <c r="A159" t="s">
        <v>403</v>
      </c>
      <c r="B159" t="s">
        <v>404</v>
      </c>
      <c r="C159" s="6" t="s">
        <v>19</v>
      </c>
      <c r="D159" s="6">
        <v>1200</v>
      </c>
      <c r="E159" s="6">
        <v>17</v>
      </c>
      <c r="F159" s="6">
        <v>25</v>
      </c>
      <c r="G159" s="6">
        <v>16</v>
      </c>
      <c r="H159" s="7">
        <f>(3600/Table2[[#This Row],[CT]])*G159*24</f>
        <v>55296</v>
      </c>
      <c r="I159" s="7">
        <f>Table2[[#This Row],[TARGET HARI]]/3</f>
        <v>18432</v>
      </c>
      <c r="J159" s="6"/>
    </row>
    <row r="160" spans="1:10">
      <c r="A160" t="s">
        <v>405</v>
      </c>
      <c r="B160" t="s">
        <v>406</v>
      </c>
      <c r="C160" s="6" t="s">
        <v>19</v>
      </c>
      <c r="D160" s="6">
        <v>1200</v>
      </c>
      <c r="E160" s="6">
        <v>13</v>
      </c>
      <c r="F160" s="6">
        <v>25</v>
      </c>
      <c r="G160" s="6">
        <v>16</v>
      </c>
      <c r="H160" s="7">
        <f>(3600/Table2[[#This Row],[CT]])*G160*24</f>
        <v>55296</v>
      </c>
      <c r="I160" s="7">
        <f>Table2[[#This Row],[TARGET HARI]]/3</f>
        <v>18432</v>
      </c>
      <c r="J160" s="6"/>
    </row>
    <row r="161" spans="1:10">
      <c r="A161" t="s">
        <v>407</v>
      </c>
      <c r="B161" t="s">
        <v>408</v>
      </c>
      <c r="C161" s="6" t="s">
        <v>19</v>
      </c>
      <c r="D161" s="6">
        <v>1200</v>
      </c>
      <c r="E161" s="6">
        <v>13</v>
      </c>
      <c r="F161" s="6">
        <v>26</v>
      </c>
      <c r="G161" s="6">
        <v>16</v>
      </c>
      <c r="H161" s="7">
        <f>(3600/Table2[[#This Row],[CT]])*G161*24</f>
        <v>53169.230769230766</v>
      </c>
      <c r="I161" s="7">
        <f>Table2[[#This Row],[TARGET HARI]]/3</f>
        <v>17723.076923076922</v>
      </c>
      <c r="J161" s="6"/>
    </row>
    <row r="162" spans="1:10">
      <c r="A162" t="s">
        <v>409</v>
      </c>
      <c r="B162" t="s">
        <v>410</v>
      </c>
      <c r="C162" s="6" t="s">
        <v>19</v>
      </c>
      <c r="D162" s="6">
        <v>1200</v>
      </c>
      <c r="E162" s="6">
        <v>13</v>
      </c>
      <c r="F162" s="6">
        <v>28</v>
      </c>
      <c r="G162" s="6">
        <v>16</v>
      </c>
      <c r="H162" s="7">
        <f>(3600/Table2[[#This Row],[CT]])*G162*24</f>
        <v>49371.42857142858</v>
      </c>
      <c r="I162" s="7">
        <f>Table2[[#This Row],[TARGET HARI]]/3</f>
        <v>16457.142857142859</v>
      </c>
      <c r="J162" s="6"/>
    </row>
    <row r="163" spans="1:10">
      <c r="A163" t="s">
        <v>411</v>
      </c>
      <c r="B163" t="s">
        <v>412</v>
      </c>
      <c r="C163" s="6" t="s">
        <v>19</v>
      </c>
      <c r="D163" s="6">
        <v>648</v>
      </c>
      <c r="E163" s="6">
        <v>30.5</v>
      </c>
      <c r="F163" s="6">
        <v>22</v>
      </c>
      <c r="G163" s="6">
        <v>8</v>
      </c>
      <c r="H163" s="7">
        <f>(3600/Table2[[#This Row],[CT]])*G163*24</f>
        <v>31418.181818181816</v>
      </c>
      <c r="I163" s="7">
        <f>Table2[[#This Row],[TARGET HARI]]/3</f>
        <v>10472.727272727272</v>
      </c>
      <c r="J163" s="6"/>
    </row>
    <row r="164" spans="1:10">
      <c r="A164" t="s">
        <v>413</v>
      </c>
      <c r="B164" t="s">
        <v>414</v>
      </c>
      <c r="C164" s="6" t="s">
        <v>19</v>
      </c>
      <c r="D164" s="6">
        <v>0</v>
      </c>
      <c r="E164" s="6">
        <v>13</v>
      </c>
      <c r="F164" s="6">
        <v>30</v>
      </c>
      <c r="G164" s="6">
        <v>16</v>
      </c>
      <c r="H164" s="7">
        <f>(3600/Table2[[#This Row],[CT]])*G164*24</f>
        <v>46080</v>
      </c>
      <c r="I164" s="7">
        <f>Table2[[#This Row],[TARGET HARI]]/3</f>
        <v>15360</v>
      </c>
      <c r="J164" s="6"/>
    </row>
    <row r="165" spans="1:10">
      <c r="A165" t="s">
        <v>415</v>
      </c>
      <c r="B165" t="s">
        <v>416</v>
      </c>
      <c r="C165" s="6" t="s">
        <v>19</v>
      </c>
      <c r="D165" s="6">
        <v>0</v>
      </c>
      <c r="E165" s="6">
        <v>13</v>
      </c>
      <c r="F165" s="6">
        <v>30</v>
      </c>
      <c r="G165" s="6">
        <v>16</v>
      </c>
      <c r="H165" s="7">
        <f>(3600/Table2[[#This Row],[CT]])*G165*24</f>
        <v>46080</v>
      </c>
      <c r="I165" s="7">
        <f>Table2[[#This Row],[TARGET HARI]]/3</f>
        <v>15360</v>
      </c>
      <c r="J165" s="6"/>
    </row>
    <row r="166" spans="1:10">
      <c r="A166" t="s">
        <v>417</v>
      </c>
      <c r="B166" t="s">
        <v>418</v>
      </c>
      <c r="C166" s="6" t="s">
        <v>19</v>
      </c>
      <c r="D166" s="6">
        <v>1200</v>
      </c>
      <c r="E166" s="6">
        <v>13</v>
      </c>
      <c r="F166" s="6">
        <v>25</v>
      </c>
      <c r="G166" s="6">
        <v>16</v>
      </c>
      <c r="H166" s="7">
        <f>(3600/Table2[[#This Row],[CT]])*G166*24</f>
        <v>55296</v>
      </c>
      <c r="I166" s="7">
        <f>Table2[[#This Row],[TARGET HARI]]/3</f>
        <v>18432</v>
      </c>
      <c r="J166" s="6"/>
    </row>
    <row r="167" spans="1:10">
      <c r="A167" t="s">
        <v>419</v>
      </c>
      <c r="B167" t="s">
        <v>420</v>
      </c>
      <c r="C167" s="6" t="s">
        <v>19</v>
      </c>
      <c r="D167" s="6">
        <v>1200</v>
      </c>
      <c r="E167" s="6">
        <v>20</v>
      </c>
      <c r="F167" s="6">
        <v>25</v>
      </c>
      <c r="G167" s="6">
        <v>16</v>
      </c>
      <c r="H167" s="7">
        <f>(3600/Table2[[#This Row],[CT]])*G167*24</f>
        <v>55296</v>
      </c>
      <c r="I167" s="7">
        <f>Table2[[#This Row],[TARGET HARI]]/3</f>
        <v>18432</v>
      </c>
      <c r="J167" s="6"/>
    </row>
    <row r="168" spans="1:10">
      <c r="A168" t="s">
        <v>421</v>
      </c>
      <c r="B168" t="s">
        <v>422</v>
      </c>
      <c r="C168" s="6" t="s">
        <v>19</v>
      </c>
      <c r="D168" s="6">
        <v>1200</v>
      </c>
      <c r="E168" s="6">
        <v>13</v>
      </c>
      <c r="F168" s="6">
        <v>28</v>
      </c>
      <c r="G168" s="6">
        <v>16</v>
      </c>
      <c r="H168" s="7">
        <f>(3600/Table2[[#This Row],[CT]])*G168*24</f>
        <v>49371.42857142858</v>
      </c>
      <c r="I168" s="7">
        <f>Table2[[#This Row],[TARGET HARI]]/3</f>
        <v>16457.142857142859</v>
      </c>
      <c r="J168" s="6"/>
    </row>
    <row r="169" spans="1:10">
      <c r="A169" t="s">
        <v>423</v>
      </c>
      <c r="B169" t="s">
        <v>424</v>
      </c>
      <c r="C169" s="6" t="s">
        <v>19</v>
      </c>
      <c r="D169" s="6">
        <v>648</v>
      </c>
      <c r="E169" s="6">
        <v>30.5</v>
      </c>
      <c r="F169" s="6">
        <v>24</v>
      </c>
      <c r="G169" s="6">
        <v>8</v>
      </c>
      <c r="H169" s="7">
        <f>(3600/Table2[[#This Row],[CT]])*G169*24</f>
        <v>28800</v>
      </c>
      <c r="I169" s="7">
        <f>Table2[[#This Row],[TARGET HARI]]/3</f>
        <v>9600</v>
      </c>
      <c r="J169" s="6"/>
    </row>
    <row r="170" spans="1:10">
      <c r="A170" t="s">
        <v>425</v>
      </c>
      <c r="B170" t="s">
        <v>426</v>
      </c>
      <c r="C170" s="6" t="s">
        <v>19</v>
      </c>
      <c r="D170" s="6">
        <v>648</v>
      </c>
      <c r="E170" s="6">
        <v>31</v>
      </c>
      <c r="F170" s="6">
        <v>25</v>
      </c>
      <c r="G170" s="6">
        <v>8</v>
      </c>
      <c r="H170" s="7">
        <f>(3600/Table2[[#This Row],[CT]])*G170*24</f>
        <v>27648</v>
      </c>
      <c r="I170" s="7">
        <f>Table2[[#This Row],[TARGET HARI]]/3</f>
        <v>9216</v>
      </c>
      <c r="J170" s="6"/>
    </row>
    <row r="171" spans="1:10">
      <c r="A171" t="s">
        <v>427</v>
      </c>
      <c r="B171" t="s">
        <v>428</v>
      </c>
      <c r="C171" s="6" t="s">
        <v>19</v>
      </c>
      <c r="D171" s="6">
        <v>648</v>
      </c>
      <c r="E171" s="6">
        <v>31</v>
      </c>
      <c r="F171" s="6">
        <v>27</v>
      </c>
      <c r="G171" s="6">
        <v>8</v>
      </c>
      <c r="H171" s="7">
        <f>(3600/Table2[[#This Row],[CT]])*G171*24</f>
        <v>25600</v>
      </c>
      <c r="I171" s="7">
        <f>Table2[[#This Row],[TARGET HARI]]/3</f>
        <v>8533.3333333333339</v>
      </c>
      <c r="J171" s="6"/>
    </row>
    <row r="172" spans="1:10">
      <c r="A172" t="s">
        <v>429</v>
      </c>
      <c r="B172" t="s">
        <v>430</v>
      </c>
      <c r="C172" s="6" t="s">
        <v>19</v>
      </c>
      <c r="D172" s="6">
        <v>648</v>
      </c>
      <c r="E172" s="6">
        <v>31</v>
      </c>
      <c r="F172" s="6">
        <v>25</v>
      </c>
      <c r="G172" s="6">
        <v>8</v>
      </c>
      <c r="H172" s="7">
        <f>(3600/Table2[[#This Row],[CT]])*G172*24</f>
        <v>27648</v>
      </c>
      <c r="I172" s="7">
        <f>Table2[[#This Row],[TARGET HARI]]/3</f>
        <v>9216</v>
      </c>
      <c r="J172" s="6"/>
    </row>
    <row r="173" spans="1:10">
      <c r="A173" t="s">
        <v>431</v>
      </c>
      <c r="B173" t="s">
        <v>432</v>
      </c>
      <c r="C173" s="6" t="s">
        <v>19</v>
      </c>
      <c r="D173" s="6">
        <v>648</v>
      </c>
      <c r="E173" s="6">
        <v>31</v>
      </c>
      <c r="F173" s="6">
        <v>22</v>
      </c>
      <c r="G173" s="6">
        <v>8</v>
      </c>
      <c r="H173" s="7">
        <f>(3600/Table2[[#This Row],[CT]])*G173*24</f>
        <v>31418.181818181816</v>
      </c>
      <c r="I173" s="7">
        <f>Table2[[#This Row],[TARGET HARI]]/3</f>
        <v>10472.727272727272</v>
      </c>
      <c r="J173" s="6"/>
    </row>
    <row r="174" spans="1:10">
      <c r="A174" t="s">
        <v>433</v>
      </c>
      <c r="B174" t="s">
        <v>434</v>
      </c>
      <c r="C174" s="6" t="s">
        <v>19</v>
      </c>
      <c r="D174" s="6">
        <v>648</v>
      </c>
      <c r="E174" s="6">
        <v>31</v>
      </c>
      <c r="F174" s="6">
        <v>22</v>
      </c>
      <c r="G174" s="6">
        <v>8</v>
      </c>
      <c r="H174" s="7">
        <f>(3600/Table2[[#This Row],[CT]])*G174*24</f>
        <v>31418.181818181816</v>
      </c>
      <c r="I174" s="7">
        <f>Table2[[#This Row],[TARGET HARI]]/3</f>
        <v>10472.727272727272</v>
      </c>
      <c r="J174" s="6"/>
    </row>
    <row r="175" spans="1:10">
      <c r="A175" t="s">
        <v>435</v>
      </c>
      <c r="B175" t="s">
        <v>436</v>
      </c>
      <c r="C175" s="6" t="s">
        <v>19</v>
      </c>
      <c r="D175" s="6">
        <v>1200</v>
      </c>
      <c r="E175" s="6">
        <v>13</v>
      </c>
      <c r="F175" s="6">
        <v>20</v>
      </c>
      <c r="G175" s="6">
        <v>16</v>
      </c>
      <c r="H175" s="7">
        <f>(3600/Table2[[#This Row],[CT]])*G175*24</f>
        <v>69120</v>
      </c>
      <c r="I175" s="7">
        <f>Table2[[#This Row],[TARGET HARI]]/3</f>
        <v>23040</v>
      </c>
      <c r="J175" s="6"/>
    </row>
    <row r="176" spans="1:10">
      <c r="A176" t="s">
        <v>437</v>
      </c>
      <c r="B176" t="s">
        <v>438</v>
      </c>
      <c r="C176" s="6" t="s">
        <v>19</v>
      </c>
      <c r="D176" s="6">
        <v>540</v>
      </c>
      <c r="E176" s="6">
        <v>26</v>
      </c>
      <c r="F176" s="6">
        <v>30</v>
      </c>
      <c r="G176" s="6">
        <v>4</v>
      </c>
      <c r="H176" s="7">
        <f>(3600/Table2[[#This Row],[CT]])*G176*24</f>
        <v>11520</v>
      </c>
      <c r="I176" s="7">
        <f>Table2[[#This Row],[TARGET HARI]]/3</f>
        <v>3840</v>
      </c>
      <c r="J176" s="6"/>
    </row>
    <row r="177" spans="1:10">
      <c r="A177" t="s">
        <v>439</v>
      </c>
      <c r="B177" t="s">
        <v>440</v>
      </c>
      <c r="C177" s="6" t="s">
        <v>19</v>
      </c>
      <c r="D177" s="6">
        <v>540</v>
      </c>
      <c r="E177" s="6">
        <v>26</v>
      </c>
      <c r="F177" s="6">
        <v>30</v>
      </c>
      <c r="G177" s="6">
        <v>6</v>
      </c>
      <c r="H177" s="7">
        <f>(3600/Table2[[#This Row],[CT]])*G177*24</f>
        <v>17280</v>
      </c>
      <c r="I177" s="7">
        <f>Table2[[#This Row],[TARGET HARI]]/3</f>
        <v>5760</v>
      </c>
      <c r="J177" s="6"/>
    </row>
    <row r="178" spans="1:10">
      <c r="A178" t="s">
        <v>441</v>
      </c>
      <c r="B178" t="s">
        <v>442</v>
      </c>
      <c r="C178" s="6" t="s">
        <v>19</v>
      </c>
      <c r="D178" s="6">
        <v>648</v>
      </c>
      <c r="E178" s="6">
        <v>31</v>
      </c>
      <c r="F178" s="6">
        <v>24</v>
      </c>
      <c r="G178" s="6">
        <v>8</v>
      </c>
      <c r="H178" s="7">
        <f>(3600/Table2[[#This Row],[CT]])*G178*24</f>
        <v>28800</v>
      </c>
      <c r="I178" s="7">
        <f>Table2[[#This Row],[TARGET HARI]]/3</f>
        <v>9600</v>
      </c>
      <c r="J178" s="6"/>
    </row>
    <row r="179" spans="1:10">
      <c r="A179" t="s">
        <v>443</v>
      </c>
      <c r="B179" t="s">
        <v>444</v>
      </c>
      <c r="C179" s="6" t="s">
        <v>19</v>
      </c>
      <c r="D179" s="6">
        <v>1734</v>
      </c>
      <c r="E179" s="6">
        <v>8.1999999999999993</v>
      </c>
      <c r="F179" s="6">
        <v>28</v>
      </c>
      <c r="G179" s="6">
        <v>12</v>
      </c>
      <c r="H179" s="7">
        <f>(3600/Table2[[#This Row],[CT]])*G179*24</f>
        <v>37028.571428571435</v>
      </c>
      <c r="I179" s="7">
        <f>Table2[[#This Row],[TARGET HARI]]/3</f>
        <v>12342.857142857145</v>
      </c>
      <c r="J179" s="6">
        <v>642</v>
      </c>
    </row>
    <row r="180" spans="1:10">
      <c r="A180" t="s">
        <v>445</v>
      </c>
      <c r="B180" t="s">
        <v>446</v>
      </c>
      <c r="C180" s="6" t="s">
        <v>19</v>
      </c>
      <c r="D180" s="6">
        <v>648</v>
      </c>
      <c r="E180" s="6">
        <v>30.5</v>
      </c>
      <c r="F180" s="6">
        <v>24</v>
      </c>
      <c r="G180" s="6">
        <v>8</v>
      </c>
      <c r="H180" s="7">
        <f>(3600/Table2[[#This Row],[CT]])*G180*24</f>
        <v>28800</v>
      </c>
      <c r="I180" s="7">
        <f>Table2[[#This Row],[TARGET HARI]]/3</f>
        <v>9600</v>
      </c>
      <c r="J180" s="6"/>
    </row>
    <row r="181" spans="1:10">
      <c r="A181" t="s">
        <v>447</v>
      </c>
      <c r="B181" t="s">
        <v>448</v>
      </c>
      <c r="C181" s="6" t="s">
        <v>449</v>
      </c>
      <c r="D181" s="6">
        <v>504</v>
      </c>
      <c r="E181" s="6">
        <v>4.5999999999999996</v>
      </c>
      <c r="F181" s="6">
        <v>20</v>
      </c>
      <c r="G181" s="6">
        <v>8</v>
      </c>
      <c r="H181" s="7">
        <f>(3600/Table2[[#This Row],[CT]])*G181*24</f>
        <v>34560</v>
      </c>
      <c r="I181" s="7">
        <f>Table2[[#This Row],[TARGET HARI]]/3</f>
        <v>11520</v>
      </c>
      <c r="J181" s="6">
        <v>335</v>
      </c>
    </row>
    <row r="182" spans="1:10">
      <c r="A182" t="s">
        <v>450</v>
      </c>
      <c r="B182" t="s">
        <v>451</v>
      </c>
      <c r="C182" s="6" t="s">
        <v>449</v>
      </c>
      <c r="D182" s="6">
        <v>1500</v>
      </c>
      <c r="E182" s="6">
        <v>4.5999999999999996</v>
      </c>
      <c r="F182" s="6">
        <v>20</v>
      </c>
      <c r="G182" s="6">
        <v>8</v>
      </c>
      <c r="H182" s="7">
        <f>(3600/Table2[[#This Row],[CT]])*G182*24</f>
        <v>34560</v>
      </c>
      <c r="I182" s="7">
        <f>Table2[[#This Row],[TARGET HARI]]/3</f>
        <v>11520</v>
      </c>
      <c r="J182" s="6">
        <v>335</v>
      </c>
    </row>
    <row r="183" spans="1:10">
      <c r="A183" t="s">
        <v>452</v>
      </c>
      <c r="B183" t="s">
        <v>453</v>
      </c>
      <c r="C183" s="6" t="s">
        <v>449</v>
      </c>
      <c r="D183" s="6">
        <v>128</v>
      </c>
      <c r="E183" s="6">
        <v>4.5999999999999996</v>
      </c>
      <c r="F183" s="6">
        <v>25</v>
      </c>
      <c r="G183" s="6">
        <v>8</v>
      </c>
      <c r="H183" s="7">
        <f>(3600/Table2[[#This Row],[CT]])*G183*24</f>
        <v>27648</v>
      </c>
      <c r="I183" s="7">
        <f>Table2[[#This Row],[TARGET HARI]]/3</f>
        <v>9216</v>
      </c>
      <c r="J183" s="6">
        <v>335</v>
      </c>
    </row>
    <row r="184" spans="1:10">
      <c r="A184" t="s">
        <v>454</v>
      </c>
      <c r="B184" t="s">
        <v>455</v>
      </c>
      <c r="C184" s="6" t="s">
        <v>449</v>
      </c>
      <c r="D184" s="6">
        <v>3200</v>
      </c>
      <c r="E184" s="6">
        <v>4.75</v>
      </c>
      <c r="F184" s="6">
        <v>25</v>
      </c>
      <c r="G184" s="6">
        <v>8</v>
      </c>
      <c r="H184" s="7">
        <f>(3600/Table2[[#This Row],[CT]])*G184*24</f>
        <v>27648</v>
      </c>
      <c r="I184" s="7">
        <f>Table2[[#This Row],[TARGET HARI]]/3</f>
        <v>9216</v>
      </c>
      <c r="J184" s="6">
        <v>288</v>
      </c>
    </row>
    <row r="185" spans="1:10">
      <c r="A185" t="s">
        <v>456</v>
      </c>
      <c r="B185" t="s">
        <v>457</v>
      </c>
      <c r="C185" s="6" t="s">
        <v>449</v>
      </c>
      <c r="D185" s="6">
        <v>1500</v>
      </c>
      <c r="E185" s="6">
        <v>4.8</v>
      </c>
      <c r="F185" s="6">
        <v>20</v>
      </c>
      <c r="G185" s="6">
        <v>8</v>
      </c>
      <c r="H185" s="7">
        <f>(3600/Table2[[#This Row],[CT]])*G185*24</f>
        <v>34560</v>
      </c>
      <c r="I185" s="7">
        <f>Table2[[#This Row],[TARGET HARI]]/3</f>
        <v>11520</v>
      </c>
      <c r="J185" s="6">
        <v>335</v>
      </c>
    </row>
    <row r="186" spans="1:10">
      <c r="A186" t="s">
        <v>458</v>
      </c>
      <c r="B186" t="s">
        <v>459</v>
      </c>
      <c r="C186" s="6" t="s">
        <v>449</v>
      </c>
      <c r="D186" s="6">
        <v>1500</v>
      </c>
      <c r="E186" s="6">
        <v>4.8</v>
      </c>
      <c r="F186" s="6">
        <v>20</v>
      </c>
      <c r="G186" s="6">
        <v>8</v>
      </c>
      <c r="H186" s="7">
        <f>(3600/Table2[[#This Row],[CT]])*G186*24</f>
        <v>34560</v>
      </c>
      <c r="I186" s="7">
        <f>Table2[[#This Row],[TARGET HARI]]/3</f>
        <v>11520</v>
      </c>
      <c r="J186" s="6">
        <v>335</v>
      </c>
    </row>
    <row r="187" spans="1:10">
      <c r="A187" t="s">
        <v>460</v>
      </c>
      <c r="B187" t="s">
        <v>461</v>
      </c>
      <c r="C187" s="6" t="s">
        <v>449</v>
      </c>
      <c r="D187" s="6">
        <v>950</v>
      </c>
      <c r="E187" s="6">
        <v>6.3</v>
      </c>
      <c r="F187" s="6">
        <v>26</v>
      </c>
      <c r="H187" s="7">
        <f>(3600/Table2[[#This Row],[CT]])*G187*24</f>
        <v>0</v>
      </c>
      <c r="I187" s="7">
        <f>Table2[[#This Row],[TARGET HARI]]/3</f>
        <v>0</v>
      </c>
      <c r="J187" s="6">
        <v>507</v>
      </c>
    </row>
    <row r="188" spans="1:10">
      <c r="A188" t="s">
        <v>462</v>
      </c>
      <c r="B188" t="s">
        <v>463</v>
      </c>
      <c r="C188" s="6" t="s">
        <v>449</v>
      </c>
      <c r="D188" s="6">
        <v>1400</v>
      </c>
      <c r="E188" s="6">
        <v>6.15</v>
      </c>
      <c r="F188" s="6">
        <v>22</v>
      </c>
      <c r="G188" s="6">
        <v>16</v>
      </c>
      <c r="H188" s="7">
        <f>(3600/Table2[[#This Row],[CT]])*G188*24</f>
        <v>62836.363636363632</v>
      </c>
      <c r="I188" s="7">
        <f>Table2[[#This Row],[TARGET HARI]]/3</f>
        <v>20945.454545454544</v>
      </c>
      <c r="J188" s="6">
        <v>394</v>
      </c>
    </row>
    <row r="189" spans="1:10">
      <c r="A189" t="s">
        <v>464</v>
      </c>
      <c r="B189" t="s">
        <v>465</v>
      </c>
      <c r="C189" s="6" t="s">
        <v>449</v>
      </c>
      <c r="D189" s="6">
        <v>1400</v>
      </c>
      <c r="E189" s="6">
        <v>6.15</v>
      </c>
      <c r="F189" s="6">
        <v>22</v>
      </c>
      <c r="H189" s="7">
        <f>(3600/Table2[[#This Row],[CT]])*G189*24</f>
        <v>0</v>
      </c>
      <c r="I189" s="7">
        <f>Table2[[#This Row],[TARGET HARI]]/3</f>
        <v>0</v>
      </c>
      <c r="J189" s="6">
        <v>390</v>
      </c>
    </row>
    <row r="190" spans="1:10">
      <c r="A190" t="s">
        <v>466</v>
      </c>
      <c r="B190" t="s">
        <v>467</v>
      </c>
      <c r="C190" s="6" t="s">
        <v>449</v>
      </c>
      <c r="D190" s="6">
        <v>300</v>
      </c>
      <c r="E190" s="6">
        <v>14.5</v>
      </c>
      <c r="F190" s="6">
        <v>22</v>
      </c>
      <c r="G190" s="6">
        <v>4</v>
      </c>
      <c r="H190" s="7">
        <f>(3600/Table2[[#This Row],[CT]])*G190*24</f>
        <v>15709.090909090908</v>
      </c>
      <c r="I190" s="7">
        <f>Table2[[#This Row],[TARGET HARI]]/3</f>
        <v>5236.363636363636</v>
      </c>
      <c r="J190" s="6">
        <v>781</v>
      </c>
    </row>
    <row r="191" spans="1:10">
      <c r="A191" t="s">
        <v>468</v>
      </c>
      <c r="B191" t="s">
        <v>469</v>
      </c>
      <c r="C191" s="6" t="s">
        <v>449</v>
      </c>
      <c r="D191" s="6">
        <v>300</v>
      </c>
      <c r="E191" s="6">
        <v>14.5</v>
      </c>
      <c r="F191" s="6">
        <v>22</v>
      </c>
      <c r="G191" s="6">
        <v>4</v>
      </c>
      <c r="H191" s="7">
        <f>(3600/Table2[[#This Row],[CT]])*G191*24</f>
        <v>15709.090909090908</v>
      </c>
      <c r="I191" s="7">
        <f>Table2[[#This Row],[TARGET HARI]]/3</f>
        <v>5236.363636363636</v>
      </c>
      <c r="J191" s="6">
        <v>781</v>
      </c>
    </row>
    <row r="192" spans="1:10">
      <c r="A192" t="s">
        <v>470</v>
      </c>
      <c r="B192" t="s">
        <v>471</v>
      </c>
      <c r="C192" s="6" t="s">
        <v>472</v>
      </c>
      <c r="D192" s="6">
        <v>105</v>
      </c>
      <c r="E192" s="6">
        <v>81</v>
      </c>
      <c r="F192" s="6">
        <v>45</v>
      </c>
      <c r="G192" s="6">
        <v>2</v>
      </c>
      <c r="H192" s="7">
        <f>(3600/Table2[[#This Row],[CT]])*G192*24</f>
        <v>3840</v>
      </c>
      <c r="I192" s="7">
        <f>Table2[[#This Row],[TARGET HARI]]/3</f>
        <v>1280</v>
      </c>
      <c r="J192" s="6"/>
    </row>
    <row r="193" spans="1:10">
      <c r="A193" t="s">
        <v>473</v>
      </c>
      <c r="B193" t="s">
        <v>474</v>
      </c>
      <c r="C193" s="6" t="s">
        <v>472</v>
      </c>
      <c r="D193" s="6">
        <v>105</v>
      </c>
      <c r="E193" s="6">
        <v>85</v>
      </c>
      <c r="F193" s="6">
        <v>45</v>
      </c>
      <c r="G193" s="6">
        <v>2</v>
      </c>
      <c r="H193" s="7">
        <f>(3600/Table2[[#This Row],[CT]])*G193*24</f>
        <v>3840</v>
      </c>
      <c r="I193" s="7">
        <f>Table2[[#This Row],[TARGET HARI]]/3</f>
        <v>1280</v>
      </c>
      <c r="J193" s="6">
        <v>1500</v>
      </c>
    </row>
    <row r="194" spans="1:10">
      <c r="A194" t="s">
        <v>475</v>
      </c>
      <c r="B194" t="s">
        <v>476</v>
      </c>
      <c r="C194" s="6" t="s">
        <v>449</v>
      </c>
      <c r="D194" s="6">
        <v>240</v>
      </c>
      <c r="E194" s="6">
        <v>25</v>
      </c>
      <c r="F194" s="6">
        <v>30</v>
      </c>
      <c r="G194" s="6">
        <v>2</v>
      </c>
      <c r="H194" s="7">
        <f>(3600/Table2[[#This Row],[CT]])*G194*24</f>
        <v>5760</v>
      </c>
      <c r="I194" s="7">
        <f>Table2[[#This Row],[TARGET HARI]]/3</f>
        <v>1920</v>
      </c>
      <c r="J194" s="6">
        <v>1577</v>
      </c>
    </row>
    <row r="195" spans="1:10">
      <c r="A195" t="s">
        <v>477</v>
      </c>
      <c r="B195" t="s">
        <v>478</v>
      </c>
      <c r="C195" s="6" t="s">
        <v>449</v>
      </c>
      <c r="D195" s="6">
        <v>240</v>
      </c>
      <c r="E195" s="6">
        <v>25</v>
      </c>
      <c r="F195" s="6">
        <v>30</v>
      </c>
      <c r="G195" s="6">
        <v>2</v>
      </c>
      <c r="H195" s="7">
        <f>(3600/Table2[[#This Row],[CT]])*G195*24</f>
        <v>5760</v>
      </c>
      <c r="I195" s="7">
        <f>Table2[[#This Row],[TARGET HARI]]/3</f>
        <v>1920</v>
      </c>
      <c r="J195" s="6">
        <v>1577</v>
      </c>
    </row>
    <row r="196" spans="1:10">
      <c r="A196" t="s">
        <v>479</v>
      </c>
      <c r="B196" t="s">
        <v>480</v>
      </c>
      <c r="C196" s="6" t="s">
        <v>449</v>
      </c>
      <c r="D196" s="6">
        <v>800</v>
      </c>
      <c r="E196" s="6">
        <v>6.75</v>
      </c>
      <c r="F196" s="6">
        <v>22</v>
      </c>
      <c r="G196" s="6">
        <v>8</v>
      </c>
      <c r="H196" s="7">
        <f>(3600/Table2[[#This Row],[CT]])*G196*24</f>
        <v>31418.181818181816</v>
      </c>
      <c r="I196" s="7">
        <f>Table2[[#This Row],[TARGET HARI]]/3</f>
        <v>10472.727272727272</v>
      </c>
      <c r="J196" s="6">
        <v>324</v>
      </c>
    </row>
    <row r="197" spans="1:10">
      <c r="A197" t="s">
        <v>481</v>
      </c>
      <c r="B197" t="s">
        <v>482</v>
      </c>
      <c r="C197" s="6" t="s">
        <v>449</v>
      </c>
      <c r="D197" s="6">
        <v>1512</v>
      </c>
      <c r="E197" s="6">
        <v>6.3</v>
      </c>
      <c r="F197" s="6">
        <v>22</v>
      </c>
      <c r="H197" s="7">
        <f>(3600/Table2[[#This Row],[CT]])*G197*24</f>
        <v>0</v>
      </c>
      <c r="I197" s="7">
        <f>Table2[[#This Row],[TARGET HARI]]/3</f>
        <v>0</v>
      </c>
      <c r="J197" s="6">
        <v>552</v>
      </c>
    </row>
    <row r="198" spans="1:10">
      <c r="A198" t="s">
        <v>483</v>
      </c>
      <c r="B198" t="s">
        <v>484</v>
      </c>
      <c r="C198" s="6" t="s">
        <v>449</v>
      </c>
      <c r="D198" s="6">
        <v>253</v>
      </c>
      <c r="E198" s="6">
        <v>22</v>
      </c>
      <c r="F198" s="6">
        <v>20</v>
      </c>
      <c r="G198" s="6">
        <v>2</v>
      </c>
      <c r="H198" s="7">
        <f>(3600/Table2[[#This Row],[CT]])*G198*24</f>
        <v>8640</v>
      </c>
      <c r="I198" s="7">
        <f>Table2[[#This Row],[TARGET HARI]]/3</f>
        <v>2880</v>
      </c>
      <c r="J198" s="6">
        <v>1475</v>
      </c>
    </row>
    <row r="199" spans="1:10">
      <c r="A199" t="s">
        <v>485</v>
      </c>
      <c r="B199" t="s">
        <v>486</v>
      </c>
      <c r="C199" s="6" t="s">
        <v>449</v>
      </c>
      <c r="D199" s="6">
        <v>253</v>
      </c>
      <c r="E199" s="6">
        <v>22</v>
      </c>
      <c r="F199" s="6">
        <v>20</v>
      </c>
      <c r="G199" s="6">
        <v>2</v>
      </c>
      <c r="H199" s="7">
        <f>(3600/Table2[[#This Row],[CT]])*G199*24</f>
        <v>8640</v>
      </c>
      <c r="I199" s="7">
        <f>Table2[[#This Row],[TARGET HARI]]/3</f>
        <v>2880</v>
      </c>
      <c r="J199" s="6">
        <v>1475</v>
      </c>
    </row>
    <row r="200" spans="1:10">
      <c r="A200" t="s">
        <v>487</v>
      </c>
      <c r="B200" t="s">
        <v>488</v>
      </c>
      <c r="C200" s="6" t="s">
        <v>449</v>
      </c>
      <c r="D200" s="6">
        <v>0</v>
      </c>
      <c r="E200" s="6">
        <v>22</v>
      </c>
      <c r="F200" s="6">
        <v>20</v>
      </c>
      <c r="G200" s="6">
        <v>2</v>
      </c>
      <c r="H200" s="7">
        <f>(3600/Table2[[#This Row],[CT]])*G200*24</f>
        <v>8640</v>
      </c>
      <c r="I200" s="7">
        <f>Table2[[#This Row],[TARGET HARI]]/3</f>
        <v>2880</v>
      </c>
      <c r="J200" s="6">
        <v>1166</v>
      </c>
    </row>
    <row r="201" spans="1:10">
      <c r="A201" t="s">
        <v>489</v>
      </c>
      <c r="B201" t="s">
        <v>490</v>
      </c>
      <c r="C201" s="6" t="s">
        <v>449</v>
      </c>
      <c r="D201" s="6">
        <v>1400</v>
      </c>
      <c r="E201" s="6">
        <v>6.15</v>
      </c>
      <c r="F201" s="6">
        <v>22</v>
      </c>
      <c r="G201" s="6">
        <v>16</v>
      </c>
      <c r="H201" s="7">
        <f>(3600/Table2[[#This Row],[CT]])*G201*24</f>
        <v>62836.363636363632</v>
      </c>
      <c r="I201" s="7">
        <f>Table2[[#This Row],[TARGET HARI]]/3</f>
        <v>20945.454545454544</v>
      </c>
      <c r="J201" s="6">
        <v>390</v>
      </c>
    </row>
    <row r="202" spans="1:10">
      <c r="A202" t="s">
        <v>491</v>
      </c>
      <c r="B202" t="s">
        <v>492</v>
      </c>
      <c r="C202" s="6" t="s">
        <v>449</v>
      </c>
      <c r="D202" s="6">
        <v>1400</v>
      </c>
      <c r="E202" s="6">
        <v>6.15</v>
      </c>
      <c r="F202" s="6">
        <v>22</v>
      </c>
      <c r="G202" s="6">
        <v>16</v>
      </c>
      <c r="H202" s="7">
        <f>(3600/Table2[[#This Row],[CT]])*G202*24</f>
        <v>62836.363636363632</v>
      </c>
      <c r="I202" s="7">
        <f>Table2[[#This Row],[TARGET HARI]]/3</f>
        <v>20945.454545454544</v>
      </c>
      <c r="J202" s="6">
        <v>390</v>
      </c>
    </row>
    <row r="203" spans="1:10">
      <c r="A203" t="s">
        <v>493</v>
      </c>
      <c r="B203" t="s">
        <v>494</v>
      </c>
      <c r="C203" s="6" t="s">
        <v>449</v>
      </c>
      <c r="D203" s="6">
        <v>1400</v>
      </c>
      <c r="E203" s="6">
        <v>6.15</v>
      </c>
      <c r="F203" s="6">
        <v>22</v>
      </c>
      <c r="H203" s="7">
        <f>(3600/Table2[[#This Row],[CT]])*G203*24</f>
        <v>0</v>
      </c>
      <c r="I203" s="7">
        <f>Table2[[#This Row],[TARGET HARI]]/3</f>
        <v>0</v>
      </c>
      <c r="J203" s="6">
        <v>390</v>
      </c>
    </row>
    <row r="204" spans="1:10">
      <c r="A204" t="s">
        <v>495</v>
      </c>
      <c r="B204" t="s">
        <v>496</v>
      </c>
      <c r="C204" s="6" t="s">
        <v>449</v>
      </c>
      <c r="D204" s="6">
        <v>240</v>
      </c>
      <c r="E204" s="6">
        <v>22</v>
      </c>
      <c r="F204" s="6">
        <v>30</v>
      </c>
      <c r="G204" s="6">
        <v>8</v>
      </c>
      <c r="H204" s="7">
        <f>(3600/Table2[[#This Row],[CT]])*G204*24</f>
        <v>23040</v>
      </c>
      <c r="I204" s="7">
        <f>Table2[[#This Row],[TARGET HARI]]/3</f>
        <v>7680</v>
      </c>
      <c r="J204" s="6">
        <v>1577</v>
      </c>
    </row>
    <row r="205" spans="1:10">
      <c r="A205" t="s">
        <v>497</v>
      </c>
      <c r="B205" t="s">
        <v>498</v>
      </c>
      <c r="C205" s="6" t="s">
        <v>449</v>
      </c>
      <c r="D205" s="6">
        <v>1400</v>
      </c>
      <c r="E205" s="6">
        <v>6.15</v>
      </c>
      <c r="F205" s="6">
        <v>20</v>
      </c>
      <c r="G205" s="6">
        <v>16</v>
      </c>
      <c r="H205" s="7">
        <f>(3600/Table2[[#This Row],[CT]])*G205*24</f>
        <v>69120</v>
      </c>
      <c r="I205" s="7">
        <f>Table2[[#This Row],[TARGET HARI]]/3</f>
        <v>23040</v>
      </c>
      <c r="J205" s="6">
        <v>394</v>
      </c>
    </row>
    <row r="206" spans="1:10">
      <c r="A206" t="s">
        <v>499</v>
      </c>
      <c r="B206" t="s">
        <v>500</v>
      </c>
      <c r="C206" s="6" t="s">
        <v>449</v>
      </c>
      <c r="D206" s="6">
        <v>1400</v>
      </c>
      <c r="E206" s="6">
        <v>6.15</v>
      </c>
      <c r="F206" s="6">
        <v>22</v>
      </c>
      <c r="H206" s="7">
        <f>(3600/Table2[[#This Row],[CT]])*G206*24</f>
        <v>0</v>
      </c>
      <c r="I206" s="7">
        <f>Table2[[#This Row],[TARGET HARI]]/3</f>
        <v>0</v>
      </c>
      <c r="J206" s="6">
        <v>394</v>
      </c>
    </row>
    <row r="207" spans="1:10">
      <c r="A207" t="s">
        <v>501</v>
      </c>
      <c r="B207" t="s">
        <v>502</v>
      </c>
      <c r="C207" s="6" t="s">
        <v>449</v>
      </c>
      <c r="D207" s="6">
        <v>1400</v>
      </c>
      <c r="E207" s="6">
        <v>6.15</v>
      </c>
      <c r="F207" s="6">
        <v>20</v>
      </c>
      <c r="G207" s="6">
        <v>16</v>
      </c>
      <c r="H207" s="7">
        <f>(3600/Table2[[#This Row],[CT]])*G207*24</f>
        <v>69120</v>
      </c>
      <c r="I207" s="7">
        <f>Table2[[#This Row],[TARGET HARI]]/3</f>
        <v>23040</v>
      </c>
      <c r="J207" s="6">
        <v>394</v>
      </c>
    </row>
    <row r="208" spans="1:10">
      <c r="A208" t="s">
        <v>503</v>
      </c>
      <c r="B208" t="s">
        <v>504</v>
      </c>
      <c r="C208" s="6" t="s">
        <v>449</v>
      </c>
      <c r="D208" s="6">
        <v>500</v>
      </c>
      <c r="E208" s="6">
        <v>8.1999999999999993</v>
      </c>
      <c r="F208" s="6">
        <v>19</v>
      </c>
      <c r="G208" s="6">
        <v>8</v>
      </c>
      <c r="H208" s="7">
        <f>(3600/Table2[[#This Row],[CT]])*G208*24</f>
        <v>36378.947368421053</v>
      </c>
      <c r="I208" s="7">
        <f>Table2[[#This Row],[TARGET HARI]]/3</f>
        <v>12126.315789473685</v>
      </c>
      <c r="J208" s="6">
        <v>539</v>
      </c>
    </row>
    <row r="209" spans="1:10">
      <c r="A209" t="s">
        <v>505</v>
      </c>
      <c r="B209" t="s">
        <v>506</v>
      </c>
      <c r="C209" s="6" t="s">
        <v>449</v>
      </c>
      <c r="D209" s="6">
        <v>1000</v>
      </c>
      <c r="E209" s="6">
        <v>9</v>
      </c>
      <c r="F209" s="6">
        <v>22</v>
      </c>
      <c r="G209" s="6">
        <v>8</v>
      </c>
      <c r="H209" s="7">
        <f>(3600/Table2[[#This Row],[CT]])*G209*24</f>
        <v>31418.181818181816</v>
      </c>
      <c r="I209" s="7">
        <f>Table2[[#This Row],[TARGET HARI]]/3</f>
        <v>10472.727272727272</v>
      </c>
      <c r="J209" s="6">
        <v>613</v>
      </c>
    </row>
    <row r="210" spans="1:10">
      <c r="A210" t="s">
        <v>507</v>
      </c>
      <c r="B210" t="s">
        <v>508</v>
      </c>
      <c r="C210" s="6" t="s">
        <v>449</v>
      </c>
      <c r="D210" s="6">
        <v>1000</v>
      </c>
      <c r="E210" s="6">
        <v>4.75</v>
      </c>
      <c r="F210" s="6">
        <v>25</v>
      </c>
      <c r="G210" s="6">
        <v>8</v>
      </c>
      <c r="H210" s="7">
        <f>(3600/Table2[[#This Row],[CT]])*G210*24</f>
        <v>27648</v>
      </c>
      <c r="I210" s="7">
        <f>Table2[[#This Row],[TARGET HARI]]/3</f>
        <v>9216</v>
      </c>
      <c r="J210" s="6">
        <v>221</v>
      </c>
    </row>
    <row r="211" spans="1:10">
      <c r="A211" t="s">
        <v>509</v>
      </c>
      <c r="B211" t="s">
        <v>510</v>
      </c>
      <c r="C211" s="6" t="s">
        <v>449</v>
      </c>
      <c r="D211" s="6">
        <v>0</v>
      </c>
      <c r="E211" s="6">
        <v>9.5</v>
      </c>
      <c r="F211" s="6">
        <v>25</v>
      </c>
      <c r="G211" s="6">
        <v>8</v>
      </c>
      <c r="H211" s="7">
        <f>(3600/Table2[[#This Row],[CT]])*G211*24</f>
        <v>27648</v>
      </c>
      <c r="I211" s="7">
        <f>Table2[[#This Row],[TARGET HARI]]/3</f>
        <v>9216</v>
      </c>
      <c r="J211" s="6">
        <v>457</v>
      </c>
    </row>
    <row r="212" spans="1:10">
      <c r="A212" t="s">
        <v>511</v>
      </c>
      <c r="B212" t="s">
        <v>512</v>
      </c>
      <c r="C212" s="6" t="s">
        <v>449</v>
      </c>
      <c r="D212" s="6">
        <v>800</v>
      </c>
      <c r="E212" s="6">
        <v>6.75</v>
      </c>
      <c r="F212" s="6">
        <v>22</v>
      </c>
      <c r="G212" s="6">
        <v>9</v>
      </c>
      <c r="H212" s="7">
        <f>(3600/Table2[[#This Row],[CT]])*G212*24</f>
        <v>35345.454545454544</v>
      </c>
      <c r="I212" s="7">
        <f>Table2[[#This Row],[TARGET HARI]]/3</f>
        <v>11781.818181818182</v>
      </c>
      <c r="J212" s="6">
        <v>390</v>
      </c>
    </row>
    <row r="213" spans="1:10">
      <c r="A213" t="s">
        <v>513</v>
      </c>
      <c r="B213" t="s">
        <v>514</v>
      </c>
      <c r="C213" s="6" t="s">
        <v>449</v>
      </c>
      <c r="D213" s="6">
        <v>1400</v>
      </c>
      <c r="E213" s="6">
        <v>6.15</v>
      </c>
      <c r="F213" s="6">
        <v>22</v>
      </c>
      <c r="G213" s="6">
        <v>16</v>
      </c>
      <c r="H213" s="7">
        <f>(3600/Table2[[#This Row],[CT]])*G213*24</f>
        <v>62836.363636363632</v>
      </c>
      <c r="I213" s="7">
        <f>Table2[[#This Row],[TARGET HARI]]/3</f>
        <v>20945.454545454544</v>
      </c>
      <c r="J213" s="6">
        <v>390</v>
      </c>
    </row>
    <row r="214" spans="1:10">
      <c r="A214" t="s">
        <v>515</v>
      </c>
      <c r="B214" t="s">
        <v>516</v>
      </c>
      <c r="C214" s="6" t="s">
        <v>449</v>
      </c>
      <c r="D214" s="6">
        <v>1400</v>
      </c>
      <c r="E214" s="6">
        <v>6.15</v>
      </c>
      <c r="F214" s="6">
        <v>22</v>
      </c>
      <c r="G214" s="6">
        <v>16</v>
      </c>
      <c r="H214" s="7">
        <f>(3600/Table2[[#This Row],[CT]])*G214*24</f>
        <v>62836.363636363632</v>
      </c>
      <c r="I214" s="7">
        <f>Table2[[#This Row],[TARGET HARI]]/3</f>
        <v>20945.454545454544</v>
      </c>
      <c r="J214" s="6">
        <v>390</v>
      </c>
    </row>
    <row r="215" spans="1:10">
      <c r="A215" t="s">
        <v>517</v>
      </c>
      <c r="B215" t="s">
        <v>518</v>
      </c>
      <c r="C215" s="6" t="s">
        <v>449</v>
      </c>
      <c r="D215" s="6">
        <v>1400</v>
      </c>
      <c r="E215" s="6">
        <v>6.15</v>
      </c>
      <c r="F215" s="6">
        <v>22</v>
      </c>
      <c r="G215" s="6">
        <v>16</v>
      </c>
      <c r="H215" s="7">
        <f>(3600/Table2[[#This Row],[CT]])*G215*24</f>
        <v>62836.363636363632</v>
      </c>
      <c r="I215" s="7">
        <f>Table2[[#This Row],[TARGET HARI]]/3</f>
        <v>20945.454545454544</v>
      </c>
      <c r="J215" s="6">
        <v>390</v>
      </c>
    </row>
    <row r="216" spans="1:10">
      <c r="A216" t="s">
        <v>519</v>
      </c>
      <c r="B216" t="s">
        <v>520</v>
      </c>
      <c r="C216" s="6" t="s">
        <v>449</v>
      </c>
      <c r="D216" s="6">
        <v>1400</v>
      </c>
      <c r="E216" s="6">
        <v>6.15</v>
      </c>
      <c r="F216" s="6">
        <v>22</v>
      </c>
      <c r="G216" s="6">
        <v>16</v>
      </c>
      <c r="H216" s="7">
        <f>(3600/Table2[[#This Row],[CT]])*G216*24</f>
        <v>62836.363636363632</v>
      </c>
      <c r="I216" s="7">
        <f>Table2[[#This Row],[TARGET HARI]]/3</f>
        <v>20945.454545454544</v>
      </c>
      <c r="J216" s="6">
        <v>390</v>
      </c>
    </row>
    <row r="217" spans="1:10">
      <c r="A217" t="s">
        <v>521</v>
      </c>
      <c r="B217" t="s">
        <v>522</v>
      </c>
      <c r="C217" s="6" t="s">
        <v>449</v>
      </c>
      <c r="D217" s="6">
        <v>1400</v>
      </c>
      <c r="E217" s="6">
        <v>6.15</v>
      </c>
      <c r="F217" s="6">
        <v>22</v>
      </c>
      <c r="H217" s="7">
        <f>(3600/Table2[[#This Row],[CT]])*G217*24</f>
        <v>0</v>
      </c>
      <c r="I217" s="7">
        <f>Table2[[#This Row],[TARGET HARI]]/3</f>
        <v>0</v>
      </c>
      <c r="J217" s="6">
        <v>390</v>
      </c>
    </row>
    <row r="218" spans="1:10">
      <c r="A218" t="s">
        <v>523</v>
      </c>
      <c r="B218" t="s">
        <v>524</v>
      </c>
      <c r="C218" s="6" t="s">
        <v>449</v>
      </c>
      <c r="D218" s="6">
        <v>1400</v>
      </c>
      <c r="E218" s="6">
        <v>6.15</v>
      </c>
      <c r="F218" s="6">
        <v>22</v>
      </c>
      <c r="G218" s="6">
        <v>16</v>
      </c>
      <c r="H218" s="7">
        <f>(3600/Table2[[#This Row],[CT]])*G218*24</f>
        <v>62836.363636363632</v>
      </c>
      <c r="I218" s="7">
        <f>Table2[[#This Row],[TARGET HARI]]/3</f>
        <v>20945.454545454544</v>
      </c>
      <c r="J218" s="6">
        <v>390</v>
      </c>
    </row>
    <row r="219" spans="1:10">
      <c r="A219" t="s">
        <v>525</v>
      </c>
      <c r="B219" t="s">
        <v>526</v>
      </c>
      <c r="C219" s="6" t="s">
        <v>449</v>
      </c>
      <c r="D219" s="6">
        <v>1400</v>
      </c>
      <c r="E219" s="6">
        <v>6.15</v>
      </c>
      <c r="F219" s="6">
        <v>22</v>
      </c>
      <c r="G219" s="6">
        <v>16</v>
      </c>
      <c r="H219" s="7">
        <f>(3600/Table2[[#This Row],[CT]])*G219*24</f>
        <v>62836.363636363632</v>
      </c>
      <c r="I219" s="7">
        <f>Table2[[#This Row],[TARGET HARI]]/3</f>
        <v>20945.454545454544</v>
      </c>
      <c r="J219" s="6">
        <v>390</v>
      </c>
    </row>
    <row r="220" spans="1:10">
      <c r="A220" t="s">
        <v>527</v>
      </c>
      <c r="B220" t="s">
        <v>528</v>
      </c>
      <c r="C220" s="6" t="s">
        <v>449</v>
      </c>
      <c r="D220" s="6">
        <v>0</v>
      </c>
      <c r="E220" s="6">
        <v>6.15</v>
      </c>
      <c r="F220" s="6">
        <v>23</v>
      </c>
      <c r="G220" s="6">
        <v>14</v>
      </c>
      <c r="H220" s="7">
        <f>(3600/Table2[[#This Row],[CT]])*G220*24</f>
        <v>52591.304347826088</v>
      </c>
      <c r="I220" s="7">
        <f>Table2[[#This Row],[TARGET HARI]]/3</f>
        <v>17530.434782608696</v>
      </c>
      <c r="J220" s="6">
        <v>356</v>
      </c>
    </row>
    <row r="221" spans="1:10">
      <c r="A221" t="s">
        <v>529</v>
      </c>
      <c r="B221" t="s">
        <v>530</v>
      </c>
      <c r="C221" s="6" t="s">
        <v>472</v>
      </c>
      <c r="D221" s="6">
        <v>360</v>
      </c>
      <c r="E221" s="6">
        <v>30.4</v>
      </c>
      <c r="F221" s="6">
        <v>40</v>
      </c>
      <c r="G221" s="6">
        <v>1</v>
      </c>
      <c r="H221" s="7">
        <f>(3600/Table2[[#This Row],[CT]])*G221*24</f>
        <v>2160</v>
      </c>
      <c r="I221" s="7">
        <f>Table2[[#This Row],[TARGET HARI]]/3</f>
        <v>720</v>
      </c>
      <c r="J221" s="6">
        <v>615</v>
      </c>
    </row>
    <row r="222" spans="1:10">
      <c r="A222" t="s">
        <v>531</v>
      </c>
      <c r="B222" t="s">
        <v>532</v>
      </c>
      <c r="C222" s="6" t="s">
        <v>472</v>
      </c>
      <c r="D222" s="6">
        <v>360</v>
      </c>
      <c r="E222" s="6">
        <v>30.4</v>
      </c>
      <c r="F222" s="6">
        <v>30</v>
      </c>
      <c r="G222" s="6">
        <v>8</v>
      </c>
      <c r="H222" s="7">
        <f>(3600/Table2[[#This Row],[CT]])*G222*24</f>
        <v>23040</v>
      </c>
      <c r="I222" s="7">
        <f>Table2[[#This Row],[TARGET HARI]]/3</f>
        <v>7680</v>
      </c>
      <c r="J222" s="6">
        <v>615</v>
      </c>
    </row>
    <row r="223" spans="1:10">
      <c r="A223" t="s">
        <v>533</v>
      </c>
      <c r="B223" t="s">
        <v>534</v>
      </c>
      <c r="C223" s="6" t="s">
        <v>472</v>
      </c>
      <c r="D223" s="6">
        <v>360</v>
      </c>
      <c r="E223" s="6">
        <v>30.4</v>
      </c>
      <c r="F223" s="6">
        <v>40</v>
      </c>
      <c r="G223" s="6">
        <v>8</v>
      </c>
      <c r="H223" s="7">
        <f>(3600/Table2[[#This Row],[CT]])*G223*24</f>
        <v>17280</v>
      </c>
      <c r="I223" s="7">
        <f>Table2[[#This Row],[TARGET HARI]]/3</f>
        <v>5760</v>
      </c>
      <c r="J223" s="6">
        <v>615</v>
      </c>
    </row>
    <row r="224" spans="1:10">
      <c r="A224" t="s">
        <v>535</v>
      </c>
      <c r="B224" t="s">
        <v>536</v>
      </c>
      <c r="C224" s="6" t="s">
        <v>449</v>
      </c>
      <c r="D224" s="6">
        <v>300</v>
      </c>
      <c r="E224" s="6">
        <v>14.5</v>
      </c>
      <c r="F224" s="6">
        <v>20</v>
      </c>
      <c r="G224" s="6">
        <v>2</v>
      </c>
      <c r="H224" s="7">
        <f>(3600/Table2[[#This Row],[CT]])*G224*24</f>
        <v>8640</v>
      </c>
      <c r="I224" s="7">
        <f>Table2[[#This Row],[TARGET HARI]]/3</f>
        <v>2880</v>
      </c>
      <c r="J224" s="6">
        <v>781</v>
      </c>
    </row>
    <row r="225" spans="1:10">
      <c r="A225" t="s">
        <v>537</v>
      </c>
      <c r="B225" t="s">
        <v>538</v>
      </c>
      <c r="C225" s="6" t="s">
        <v>449</v>
      </c>
      <c r="D225" s="6">
        <v>300</v>
      </c>
      <c r="E225" s="6">
        <v>5.5</v>
      </c>
      <c r="F225" s="6">
        <v>20</v>
      </c>
      <c r="G225" s="6">
        <v>4</v>
      </c>
      <c r="H225" s="7">
        <f>(3600/Table2[[#This Row],[CT]])*G225*24</f>
        <v>17280</v>
      </c>
      <c r="I225" s="7">
        <f>Table2[[#This Row],[TARGET HARI]]/3</f>
        <v>5760</v>
      </c>
      <c r="J225" s="6">
        <v>635</v>
      </c>
    </row>
    <row r="226" spans="1:10">
      <c r="A226" t="s">
        <v>539</v>
      </c>
      <c r="B226" t="s">
        <v>540</v>
      </c>
      <c r="C226" s="6" t="s">
        <v>449</v>
      </c>
      <c r="D226" s="6">
        <v>800</v>
      </c>
      <c r="E226" s="6">
        <v>4.05</v>
      </c>
      <c r="F226" s="6">
        <v>20</v>
      </c>
      <c r="G226" s="6">
        <v>12</v>
      </c>
      <c r="H226" s="7">
        <f>(3600/Table2[[#This Row],[CT]])*G226*24</f>
        <v>51840</v>
      </c>
      <c r="I226" s="7">
        <f>Table2[[#This Row],[TARGET HARI]]/3</f>
        <v>17280</v>
      </c>
      <c r="J226" s="6">
        <v>257</v>
      </c>
    </row>
    <row r="227" spans="1:10">
      <c r="A227" t="s">
        <v>541</v>
      </c>
      <c r="B227" t="s">
        <v>542</v>
      </c>
      <c r="C227" s="6" t="s">
        <v>449</v>
      </c>
      <c r="D227" s="6">
        <v>240</v>
      </c>
      <c r="E227" s="6">
        <v>25</v>
      </c>
      <c r="F227" s="6">
        <v>30</v>
      </c>
      <c r="G227" s="6">
        <v>8</v>
      </c>
      <c r="H227" s="7">
        <f>(3600/Table2[[#This Row],[CT]])*G227*24</f>
        <v>23040</v>
      </c>
      <c r="I227" s="7">
        <f>Table2[[#This Row],[TARGET HARI]]/3</f>
        <v>7680</v>
      </c>
      <c r="J227" s="6">
        <v>1577</v>
      </c>
    </row>
    <row r="228" spans="1:10">
      <c r="A228" t="s">
        <v>543</v>
      </c>
      <c r="B228" t="s">
        <v>544</v>
      </c>
      <c r="C228" s="6" t="s">
        <v>449</v>
      </c>
      <c r="D228" s="6">
        <v>560</v>
      </c>
      <c r="E228" s="6">
        <v>9.5</v>
      </c>
      <c r="F228" s="6">
        <v>25</v>
      </c>
      <c r="G228" s="6">
        <v>8</v>
      </c>
      <c r="H228" s="7">
        <f>(3600/Table2[[#This Row],[CT]])*G228*24</f>
        <v>27648</v>
      </c>
      <c r="I228" s="7">
        <f>Table2[[#This Row],[TARGET HARI]]/3</f>
        <v>9216</v>
      </c>
      <c r="J228" s="6">
        <v>457</v>
      </c>
    </row>
    <row r="229" spans="1:10">
      <c r="A229" t="s">
        <v>545</v>
      </c>
      <c r="B229" t="s">
        <v>546</v>
      </c>
      <c r="C229" s="6" t="s">
        <v>449</v>
      </c>
      <c r="D229" s="6">
        <v>560</v>
      </c>
      <c r="E229" s="6">
        <v>9.5</v>
      </c>
      <c r="F229" s="6">
        <v>25</v>
      </c>
      <c r="G229" s="6">
        <v>8</v>
      </c>
      <c r="H229" s="7">
        <f>(3600/Table2[[#This Row],[CT]])*G229*24</f>
        <v>27648</v>
      </c>
      <c r="I229" s="7">
        <f>Table2[[#This Row],[TARGET HARI]]/3</f>
        <v>9216</v>
      </c>
      <c r="J229" s="6">
        <v>457</v>
      </c>
    </row>
    <row r="230" spans="1:10">
      <c r="A230" t="s">
        <v>547</v>
      </c>
      <c r="B230" t="s">
        <v>548</v>
      </c>
      <c r="C230" s="6" t="s">
        <v>472</v>
      </c>
      <c r="D230" s="6">
        <v>72</v>
      </c>
      <c r="E230" s="6">
        <v>112.92</v>
      </c>
      <c r="F230" s="6">
        <v>45</v>
      </c>
      <c r="G230" s="6">
        <v>1</v>
      </c>
      <c r="H230" s="7">
        <f>(3600/Table2[[#This Row],[CT]])*G230*24</f>
        <v>1920</v>
      </c>
      <c r="I230" s="7">
        <f>Table2[[#This Row],[TARGET HARI]]/3</f>
        <v>640</v>
      </c>
      <c r="J230" s="6">
        <v>1965</v>
      </c>
    </row>
    <row r="231" spans="1:10">
      <c r="A231" t="s">
        <v>549</v>
      </c>
      <c r="B231" t="s">
        <v>550</v>
      </c>
      <c r="C231" s="6" t="s">
        <v>472</v>
      </c>
      <c r="D231" s="6">
        <v>300</v>
      </c>
      <c r="E231" s="6">
        <v>112.92</v>
      </c>
      <c r="F231" s="6">
        <v>20</v>
      </c>
      <c r="G231" s="6">
        <v>2</v>
      </c>
      <c r="H231" s="7">
        <f>(3600/Table2[[#This Row],[CT]])*G231*24</f>
        <v>8640</v>
      </c>
      <c r="I231" s="7">
        <f>Table2[[#This Row],[TARGET HARI]]/3</f>
        <v>2880</v>
      </c>
      <c r="J231" s="6">
        <v>998</v>
      </c>
    </row>
    <row r="232" spans="1:10">
      <c r="A232" t="s">
        <v>551</v>
      </c>
      <c r="B232" t="s">
        <v>552</v>
      </c>
      <c r="C232" s="6" t="s">
        <v>449</v>
      </c>
      <c r="D232" s="6">
        <v>128</v>
      </c>
      <c r="E232" s="6">
        <v>22</v>
      </c>
      <c r="F232" s="6">
        <v>22</v>
      </c>
      <c r="G232" s="6">
        <v>2</v>
      </c>
      <c r="H232" s="7">
        <f>(3600/Table2[[#This Row],[CT]])*G232*24</f>
        <v>7854.545454545454</v>
      </c>
      <c r="I232" s="7">
        <f>Table2[[#This Row],[TARGET HARI]]/3</f>
        <v>2618.181818181818</v>
      </c>
      <c r="J232" s="6">
        <v>1075</v>
      </c>
    </row>
    <row r="233" spans="1:10">
      <c r="A233" t="s">
        <v>553</v>
      </c>
      <c r="B233" t="s">
        <v>554</v>
      </c>
      <c r="C233" s="6" t="s">
        <v>449</v>
      </c>
      <c r="D233" s="6">
        <v>207</v>
      </c>
      <c r="E233" s="6">
        <v>22</v>
      </c>
      <c r="F233" s="6">
        <v>22</v>
      </c>
      <c r="G233" s="6">
        <v>2</v>
      </c>
      <c r="H233" s="7">
        <f>(3600/Table2[[#This Row],[CT]])*G233*24</f>
        <v>7854.545454545454</v>
      </c>
      <c r="I233" s="7">
        <f>Table2[[#This Row],[TARGET HARI]]/3</f>
        <v>2618.181818181818</v>
      </c>
      <c r="J233" s="6">
        <v>1475</v>
      </c>
    </row>
    <row r="234" spans="1:10">
      <c r="A234" t="s">
        <v>555</v>
      </c>
      <c r="B234" t="s">
        <v>556</v>
      </c>
      <c r="C234" s="6" t="s">
        <v>557</v>
      </c>
      <c r="D234" s="6">
        <v>1248</v>
      </c>
      <c r="E234" s="6">
        <v>5</v>
      </c>
      <c r="F234" s="6">
        <v>35</v>
      </c>
      <c r="G234" s="6">
        <v>4</v>
      </c>
      <c r="H234" s="7">
        <f>(3600/Table2[[#This Row],[CT]])*G234*24</f>
        <v>9874.2857142857138</v>
      </c>
      <c r="I234" s="7">
        <f>Table2[[#This Row],[TARGET HARI]]/3</f>
        <v>3291.4285714285711</v>
      </c>
      <c r="J234" s="6">
        <v>448</v>
      </c>
    </row>
    <row r="235" spans="1:10">
      <c r="A235" t="s">
        <v>558</v>
      </c>
      <c r="B235" t="s">
        <v>559</v>
      </c>
      <c r="C235" s="6" t="s">
        <v>449</v>
      </c>
      <c r="D235" s="6">
        <v>0</v>
      </c>
      <c r="E235" s="6">
        <v>9.1999999999999993</v>
      </c>
      <c r="F235" s="6">
        <v>25</v>
      </c>
      <c r="G235" s="6">
        <v>8</v>
      </c>
      <c r="H235" s="7">
        <f>(3600/Table2[[#This Row],[CT]])*G235*24</f>
        <v>27648</v>
      </c>
      <c r="I235" s="7">
        <f>Table2[[#This Row],[TARGET HARI]]/3</f>
        <v>9216</v>
      </c>
      <c r="J235" s="6">
        <v>457</v>
      </c>
    </row>
    <row r="236" spans="1:10">
      <c r="A236" t="s">
        <v>560</v>
      </c>
      <c r="B236" t="s">
        <v>561</v>
      </c>
      <c r="C236" s="6" t="s">
        <v>449</v>
      </c>
      <c r="D236" s="6">
        <v>300</v>
      </c>
      <c r="E236" s="6">
        <v>14.5</v>
      </c>
      <c r="F236" s="6">
        <v>25</v>
      </c>
      <c r="G236" s="6">
        <v>4</v>
      </c>
      <c r="H236" s="7">
        <f>(3600/Table2[[#This Row],[CT]])*G236*24</f>
        <v>13824</v>
      </c>
      <c r="I236" s="7">
        <f>Table2[[#This Row],[TARGET HARI]]/3</f>
        <v>4608</v>
      </c>
      <c r="J236" s="6">
        <v>664</v>
      </c>
    </row>
    <row r="237" spans="1:10">
      <c r="A237" t="s">
        <v>562</v>
      </c>
      <c r="B237" t="s">
        <v>563</v>
      </c>
      <c r="C237" s="6" t="s">
        <v>449</v>
      </c>
      <c r="D237" s="6">
        <v>1000</v>
      </c>
      <c r="E237" s="6">
        <v>6.2</v>
      </c>
      <c r="F237" s="6">
        <v>20</v>
      </c>
      <c r="G237" s="6">
        <v>16</v>
      </c>
      <c r="H237" s="7">
        <f>(3600/Table2[[#This Row],[CT]])*G237*24</f>
        <v>69120</v>
      </c>
      <c r="I237" s="7">
        <f>Table2[[#This Row],[TARGET HARI]]/3</f>
        <v>23040</v>
      </c>
      <c r="J237" s="6">
        <v>338</v>
      </c>
    </row>
    <row r="238" spans="1:10">
      <c r="A238" t="s">
        <v>564</v>
      </c>
      <c r="B238" t="s">
        <v>565</v>
      </c>
      <c r="C238" s="6" t="s">
        <v>449</v>
      </c>
      <c r="D238" s="6">
        <v>0</v>
      </c>
      <c r="E238" s="6">
        <v>22</v>
      </c>
      <c r="F238" s="6">
        <v>20</v>
      </c>
      <c r="G238" s="6">
        <v>8</v>
      </c>
      <c r="H238" s="7">
        <f>(3600/Table2[[#This Row],[CT]])*G238*24</f>
        <v>34560</v>
      </c>
      <c r="I238" s="7">
        <f>Table2[[#This Row],[TARGET HARI]]/3</f>
        <v>11520</v>
      </c>
      <c r="J238" s="6">
        <v>1166</v>
      </c>
    </row>
    <row r="239" spans="1:10">
      <c r="A239" t="s">
        <v>566</v>
      </c>
      <c r="B239" t="s">
        <v>567</v>
      </c>
      <c r="C239" s="6" t="s">
        <v>449</v>
      </c>
      <c r="D239" s="6">
        <v>207</v>
      </c>
      <c r="E239" s="6">
        <v>24</v>
      </c>
      <c r="F239" s="6">
        <v>25</v>
      </c>
      <c r="G239" s="6">
        <v>4</v>
      </c>
      <c r="H239" s="7">
        <f>(3600/Table2[[#This Row],[CT]])*G239*24</f>
        <v>13824</v>
      </c>
      <c r="I239" s="7">
        <f>Table2[[#This Row],[TARGET HARI]]/3</f>
        <v>4608</v>
      </c>
      <c r="J239" s="6">
        <v>1771</v>
      </c>
    </row>
    <row r="240" spans="1:10">
      <c r="A240" t="s">
        <v>568</v>
      </c>
      <c r="B240" t="s">
        <v>569</v>
      </c>
      <c r="C240" s="6" t="s">
        <v>449</v>
      </c>
      <c r="D240" s="6">
        <v>253</v>
      </c>
      <c r="E240" s="6">
        <v>24</v>
      </c>
      <c r="F240" s="6">
        <v>25</v>
      </c>
      <c r="G240" s="6">
        <v>4</v>
      </c>
      <c r="H240" s="7">
        <f>(3600/Table2[[#This Row],[CT]])*G240*24</f>
        <v>13824</v>
      </c>
      <c r="I240" s="7">
        <f>Table2[[#This Row],[TARGET HARI]]/3</f>
        <v>4608</v>
      </c>
      <c r="J240" s="6">
        <v>1166</v>
      </c>
    </row>
    <row r="241" spans="1:10">
      <c r="A241" t="s">
        <v>570</v>
      </c>
      <c r="B241" t="s">
        <v>571</v>
      </c>
      <c r="C241" s="6" t="s">
        <v>449</v>
      </c>
      <c r="D241" s="6">
        <v>1400</v>
      </c>
      <c r="E241" s="6">
        <v>6.15</v>
      </c>
      <c r="F241" s="6">
        <v>22</v>
      </c>
      <c r="G241" s="6">
        <v>16</v>
      </c>
      <c r="H241" s="7">
        <f>(3600/Table2[[#This Row],[CT]])*G241*24</f>
        <v>62836.363636363632</v>
      </c>
      <c r="I241" s="7">
        <f>Table2[[#This Row],[TARGET HARI]]/3</f>
        <v>20945.454545454544</v>
      </c>
      <c r="J241" s="6">
        <v>390</v>
      </c>
    </row>
    <row r="242" spans="1:10">
      <c r="A242" t="s">
        <v>572</v>
      </c>
      <c r="B242" t="s">
        <v>573</v>
      </c>
      <c r="C242" s="6" t="s">
        <v>449</v>
      </c>
      <c r="D242" s="6">
        <v>1400</v>
      </c>
      <c r="E242" s="6">
        <v>6.15</v>
      </c>
      <c r="F242" s="6">
        <v>22</v>
      </c>
      <c r="G242" s="6">
        <v>16</v>
      </c>
      <c r="H242" s="7">
        <f>(3600/Table2[[#This Row],[CT]])*G242*24</f>
        <v>62836.363636363632</v>
      </c>
      <c r="I242" s="7">
        <f>Table2[[#This Row],[TARGET HARI]]/3</f>
        <v>20945.454545454544</v>
      </c>
      <c r="J242" s="6">
        <v>390</v>
      </c>
    </row>
    <row r="243" spans="1:10">
      <c r="A243" t="s">
        <v>574</v>
      </c>
      <c r="B243" t="s">
        <v>575</v>
      </c>
      <c r="C243" s="6" t="s">
        <v>449</v>
      </c>
      <c r="D243" s="6">
        <v>1400</v>
      </c>
      <c r="E243" s="6">
        <v>6.15</v>
      </c>
      <c r="F243" s="6">
        <v>22</v>
      </c>
      <c r="G243" s="6">
        <v>16</v>
      </c>
      <c r="H243" s="7">
        <f>(3600/Table2[[#This Row],[CT]])*G243*24</f>
        <v>62836.363636363632</v>
      </c>
      <c r="I243" s="7">
        <f>Table2[[#This Row],[TARGET HARI]]/3</f>
        <v>20945.454545454544</v>
      </c>
      <c r="J243" s="6">
        <v>390</v>
      </c>
    </row>
    <row r="244" spans="1:10">
      <c r="A244" t="s">
        <v>576</v>
      </c>
      <c r="B244" t="s">
        <v>577</v>
      </c>
      <c r="C244" s="6" t="s">
        <v>449</v>
      </c>
      <c r="D244" s="6">
        <v>1400</v>
      </c>
      <c r="E244" s="6">
        <v>6.15</v>
      </c>
      <c r="F244" s="6">
        <v>22</v>
      </c>
      <c r="G244" s="6">
        <v>16</v>
      </c>
      <c r="H244" s="7">
        <f>(3600/Table2[[#This Row],[CT]])*G244*24</f>
        <v>62836.363636363632</v>
      </c>
      <c r="I244" s="7">
        <f>Table2[[#This Row],[TARGET HARI]]/3</f>
        <v>20945.454545454544</v>
      </c>
      <c r="J244" s="6">
        <v>390</v>
      </c>
    </row>
    <row r="245" spans="1:10">
      <c r="A245" t="s">
        <v>578</v>
      </c>
      <c r="B245" t="s">
        <v>579</v>
      </c>
      <c r="C245" s="6" t="s">
        <v>449</v>
      </c>
      <c r="D245" s="6">
        <v>140</v>
      </c>
      <c r="E245" s="6">
        <v>9.5</v>
      </c>
      <c r="F245" s="6">
        <v>25</v>
      </c>
      <c r="G245" s="6">
        <v>8</v>
      </c>
      <c r="H245" s="7">
        <f>(3600/Table2[[#This Row],[CT]])*G245*24</f>
        <v>27648</v>
      </c>
      <c r="I245" s="7">
        <f>Table2[[#This Row],[TARGET HARI]]/3</f>
        <v>9216</v>
      </c>
      <c r="J245" s="6">
        <v>457</v>
      </c>
    </row>
    <row r="246" spans="1:10">
      <c r="A246" t="s">
        <v>580</v>
      </c>
      <c r="B246" t="s">
        <v>581</v>
      </c>
      <c r="C246" s="6" t="s">
        <v>449</v>
      </c>
      <c r="D246" s="6">
        <v>253</v>
      </c>
      <c r="E246" s="6">
        <v>22</v>
      </c>
      <c r="F246" s="6">
        <v>20</v>
      </c>
      <c r="G246" s="6">
        <v>8</v>
      </c>
      <c r="H246" s="7">
        <f>(3600/Table2[[#This Row],[CT]])*G246*24</f>
        <v>34560</v>
      </c>
      <c r="I246" s="7">
        <f>Table2[[#This Row],[TARGET HARI]]/3</f>
        <v>11520</v>
      </c>
      <c r="J246" s="6">
        <v>1475</v>
      </c>
    </row>
    <row r="247" spans="1:10">
      <c r="A247" t="s">
        <v>582</v>
      </c>
      <c r="B247" t="s">
        <v>583</v>
      </c>
      <c r="C247" s="6" t="s">
        <v>449</v>
      </c>
      <c r="D247" s="6">
        <v>0</v>
      </c>
      <c r="E247" s="6">
        <v>9.5</v>
      </c>
      <c r="F247" s="6">
        <v>30</v>
      </c>
      <c r="G247" s="6">
        <v>8</v>
      </c>
      <c r="H247" s="7">
        <f>(3600/Table2[[#This Row],[CT]])*G247*24</f>
        <v>23040</v>
      </c>
      <c r="I247" s="7">
        <f>Table2[[#This Row],[TARGET HARI]]/3</f>
        <v>7680</v>
      </c>
      <c r="J247" s="6"/>
    </row>
    <row r="248" spans="1:10">
      <c r="A248" t="s">
        <v>584</v>
      </c>
      <c r="B248" t="s">
        <v>585</v>
      </c>
      <c r="C248" s="6" t="s">
        <v>472</v>
      </c>
      <c r="D248" s="6">
        <v>360</v>
      </c>
      <c r="E248" s="6">
        <v>30.4</v>
      </c>
      <c r="F248" s="6">
        <v>40</v>
      </c>
      <c r="G248" s="6">
        <v>2</v>
      </c>
      <c r="H248" s="7">
        <f>(3600/Table2[[#This Row],[CT]])*G248*24</f>
        <v>4320</v>
      </c>
      <c r="I248" s="7">
        <f>Table2[[#This Row],[TARGET HARI]]/3</f>
        <v>1440</v>
      </c>
      <c r="J248" s="6">
        <v>615</v>
      </c>
    </row>
    <row r="249" spans="1:10">
      <c r="A249" t="s">
        <v>586</v>
      </c>
      <c r="B249" t="s">
        <v>587</v>
      </c>
      <c r="C249" s="6" t="s">
        <v>449</v>
      </c>
      <c r="D249" s="6">
        <v>800</v>
      </c>
      <c r="E249" s="6">
        <v>4.05</v>
      </c>
      <c r="F249" s="6">
        <v>20</v>
      </c>
      <c r="G249" s="6">
        <v>15</v>
      </c>
      <c r="H249" s="7">
        <f>(3600/Table2[[#This Row],[CT]])*G249*24</f>
        <v>64800</v>
      </c>
      <c r="I249" s="7">
        <f>Table2[[#This Row],[TARGET HARI]]/3</f>
        <v>21600</v>
      </c>
      <c r="J249" s="6">
        <v>234</v>
      </c>
    </row>
    <row r="250" spans="1:10">
      <c r="A250" t="s">
        <v>588</v>
      </c>
      <c r="B250" t="s">
        <v>589</v>
      </c>
      <c r="C250" s="6" t="s">
        <v>449</v>
      </c>
      <c r="D250" s="6">
        <v>400</v>
      </c>
      <c r="E250" s="6">
        <v>4.05</v>
      </c>
      <c r="F250" s="6">
        <v>20</v>
      </c>
      <c r="H250" s="7">
        <f>(3600/Table2[[#This Row],[CT]])*G250*24</f>
        <v>0</v>
      </c>
      <c r="I250" s="7">
        <f>Table2[[#This Row],[TARGET HARI]]/3</f>
        <v>0</v>
      </c>
      <c r="J250" s="6">
        <v>738</v>
      </c>
    </row>
    <row r="251" spans="1:10">
      <c r="A251" t="s">
        <v>590</v>
      </c>
      <c r="B251" t="s">
        <v>591</v>
      </c>
      <c r="C251" s="6" t="s">
        <v>449</v>
      </c>
      <c r="D251" s="6">
        <v>400</v>
      </c>
      <c r="E251" s="6">
        <v>4.05</v>
      </c>
      <c r="F251" s="6">
        <v>20</v>
      </c>
      <c r="G251" s="6">
        <v>4</v>
      </c>
      <c r="H251" s="7">
        <f>(3600/Table2[[#This Row],[CT]])*G251*24</f>
        <v>17280</v>
      </c>
      <c r="I251" s="7">
        <f>Table2[[#This Row],[TARGET HARI]]/3</f>
        <v>5760</v>
      </c>
      <c r="J251" s="6">
        <v>1125</v>
      </c>
    </row>
    <row r="252" spans="1:10">
      <c r="A252" t="s">
        <v>592</v>
      </c>
      <c r="B252" t="s">
        <v>593</v>
      </c>
      <c r="C252" s="6" t="s">
        <v>449</v>
      </c>
      <c r="D252" s="6">
        <v>0</v>
      </c>
      <c r="E252" s="6">
        <v>4.7</v>
      </c>
      <c r="F252" s="6">
        <v>25</v>
      </c>
      <c r="G252" s="6">
        <v>8</v>
      </c>
      <c r="H252" s="7">
        <f>(3600/Table2[[#This Row],[CT]])*G252*24</f>
        <v>27648</v>
      </c>
      <c r="I252" s="7">
        <f>Table2[[#This Row],[TARGET HARI]]/3</f>
        <v>9216</v>
      </c>
      <c r="J252" s="6">
        <v>350</v>
      </c>
    </row>
    <row r="253" spans="1:10">
      <c r="A253" t="s">
        <v>594</v>
      </c>
      <c r="B253" t="s">
        <v>595</v>
      </c>
      <c r="C253" s="6" t="s">
        <v>449</v>
      </c>
      <c r="D253" s="6">
        <v>1512</v>
      </c>
      <c r="E253" s="6">
        <v>6.3</v>
      </c>
      <c r="F253" s="6">
        <v>25</v>
      </c>
      <c r="G253" s="6">
        <v>8</v>
      </c>
      <c r="H253" s="7">
        <f>(3600/Table2[[#This Row],[CT]])*G253*24</f>
        <v>27648</v>
      </c>
      <c r="I253" s="7">
        <f>Table2[[#This Row],[TARGET HARI]]/3</f>
        <v>9216</v>
      </c>
      <c r="J253" s="6">
        <v>350</v>
      </c>
    </row>
    <row r="254" spans="1:10">
      <c r="A254" t="s">
        <v>596</v>
      </c>
      <c r="B254" t="s">
        <v>597</v>
      </c>
      <c r="C254" s="6" t="s">
        <v>449</v>
      </c>
      <c r="D254" s="6">
        <v>1920</v>
      </c>
      <c r="E254" s="6">
        <v>1.2</v>
      </c>
      <c r="F254" s="6">
        <v>18</v>
      </c>
      <c r="H254" s="7">
        <f>(3600/Table2[[#This Row],[CT]])*G254*24</f>
        <v>0</v>
      </c>
      <c r="I254" s="7">
        <f>Table2[[#This Row],[TARGET HARI]]/3</f>
        <v>0</v>
      </c>
      <c r="J254" s="6">
        <v>64</v>
      </c>
    </row>
    <row r="255" spans="1:10">
      <c r="A255" t="s">
        <v>598</v>
      </c>
      <c r="B255" t="s">
        <v>599</v>
      </c>
      <c r="C255" s="6" t="s">
        <v>449</v>
      </c>
      <c r="D255" s="6">
        <v>3200</v>
      </c>
      <c r="E255" s="6">
        <v>4.75</v>
      </c>
      <c r="F255" s="6">
        <v>22</v>
      </c>
      <c r="G255" s="6">
        <v>8</v>
      </c>
      <c r="H255" s="7">
        <f>(3600/Table2[[#This Row],[CT]])*G255*24</f>
        <v>31418.181818181816</v>
      </c>
      <c r="I255" s="7">
        <f>Table2[[#This Row],[TARGET HARI]]/3</f>
        <v>10472.727272727272</v>
      </c>
      <c r="J255" s="6">
        <v>405</v>
      </c>
    </row>
    <row r="256" spans="1:10">
      <c r="A256" t="s">
        <v>600</v>
      </c>
      <c r="B256" t="s">
        <v>601</v>
      </c>
      <c r="C256" s="6" t="s">
        <v>449</v>
      </c>
      <c r="D256" s="6">
        <v>0</v>
      </c>
      <c r="E256" s="6">
        <v>9.5</v>
      </c>
      <c r="F256" s="6">
        <v>22</v>
      </c>
      <c r="G256" s="6">
        <v>8</v>
      </c>
      <c r="H256" s="7">
        <f>(3600/Table2[[#This Row],[CT]])*G256*24</f>
        <v>31418.181818181816</v>
      </c>
      <c r="I256" s="7">
        <f>Table2[[#This Row],[TARGET HARI]]/3</f>
        <v>10472.727272727272</v>
      </c>
      <c r="J256" s="6">
        <v>165</v>
      </c>
    </row>
    <row r="257" spans="1:10">
      <c r="A257" t="s">
        <v>602</v>
      </c>
      <c r="B257" t="s">
        <v>603</v>
      </c>
      <c r="C257" s="6" t="s">
        <v>449</v>
      </c>
      <c r="D257" s="6">
        <v>800</v>
      </c>
      <c r="E257" s="6">
        <v>4.05</v>
      </c>
      <c r="F257" s="6">
        <v>20</v>
      </c>
      <c r="H257" s="7">
        <f>(3600/Table2[[#This Row],[CT]])*G257*24</f>
        <v>0</v>
      </c>
      <c r="I257" s="7">
        <f>Table2[[#This Row],[TARGET HARI]]/3</f>
        <v>0</v>
      </c>
      <c r="J257" s="6">
        <v>234</v>
      </c>
    </row>
    <row r="258" spans="1:10">
      <c r="A258" t="s">
        <v>604</v>
      </c>
      <c r="B258" t="s">
        <v>605</v>
      </c>
      <c r="C258" s="6" t="s">
        <v>449</v>
      </c>
      <c r="D258" s="6">
        <v>0</v>
      </c>
      <c r="E258" s="6">
        <v>22</v>
      </c>
      <c r="F258" s="6">
        <v>20</v>
      </c>
      <c r="G258" s="6">
        <v>8</v>
      </c>
      <c r="H258" s="7">
        <f>(3600/Table2[[#This Row],[CT]])*G258*24</f>
        <v>34560</v>
      </c>
      <c r="I258" s="7">
        <f>Table2[[#This Row],[TARGET HARI]]/3</f>
        <v>11520</v>
      </c>
      <c r="J258" s="6">
        <v>1457</v>
      </c>
    </row>
    <row r="259" spans="1:10">
      <c r="A259" t="s">
        <v>606</v>
      </c>
      <c r="B259" t="s">
        <v>607</v>
      </c>
      <c r="C259" s="6" t="s">
        <v>449</v>
      </c>
      <c r="D259" s="6">
        <v>1000</v>
      </c>
      <c r="E259" s="6">
        <v>6.3</v>
      </c>
      <c r="F259" s="6">
        <v>22</v>
      </c>
      <c r="H259" s="7">
        <f>(3600/Table2[[#This Row],[CT]])*G259*24</f>
        <v>0</v>
      </c>
      <c r="I259" s="7">
        <f>Table2[[#This Row],[TARGET HARI]]/3</f>
        <v>0</v>
      </c>
      <c r="J259" s="6">
        <v>582</v>
      </c>
    </row>
    <row r="260" spans="1:10">
      <c r="A260" t="s">
        <v>608</v>
      </c>
      <c r="B260" t="s">
        <v>609</v>
      </c>
      <c r="C260" s="6" t="s">
        <v>449</v>
      </c>
      <c r="D260" s="6">
        <v>800</v>
      </c>
      <c r="E260" s="6">
        <v>6.75</v>
      </c>
      <c r="F260" s="6">
        <v>20</v>
      </c>
      <c r="G260" s="6">
        <v>8</v>
      </c>
      <c r="H260" s="7">
        <f>(3600/Table2[[#This Row],[CT]])*G260*24</f>
        <v>34560</v>
      </c>
      <c r="I260" s="7">
        <f>Table2[[#This Row],[TARGET HARI]]/3</f>
        <v>11520</v>
      </c>
      <c r="J260" s="6">
        <v>390</v>
      </c>
    </row>
    <row r="261" spans="1:10">
      <c r="A261" t="s">
        <v>610</v>
      </c>
      <c r="B261" t="s">
        <v>611</v>
      </c>
      <c r="C261" s="6" t="s">
        <v>449</v>
      </c>
      <c r="D261" s="6">
        <v>800</v>
      </c>
      <c r="E261" s="6">
        <v>6.75</v>
      </c>
      <c r="F261" s="6">
        <v>22</v>
      </c>
      <c r="H261" s="7">
        <f>(3600/Table2[[#This Row],[CT]])*G261*24</f>
        <v>0</v>
      </c>
      <c r="I261" s="7">
        <f>Table2[[#This Row],[TARGET HARI]]/3</f>
        <v>0</v>
      </c>
      <c r="J261" s="6">
        <v>390</v>
      </c>
    </row>
    <row r="262" spans="1:10">
      <c r="A262" t="s">
        <v>612</v>
      </c>
      <c r="B262" t="s">
        <v>613</v>
      </c>
      <c r="C262" s="6" t="s">
        <v>449</v>
      </c>
      <c r="D262" s="6">
        <v>800</v>
      </c>
      <c r="E262" s="6">
        <v>6.75</v>
      </c>
      <c r="F262" s="6">
        <v>20</v>
      </c>
      <c r="G262" s="6">
        <v>8</v>
      </c>
      <c r="H262" s="7">
        <f>(3600/Table2[[#This Row],[CT]])*G262*24</f>
        <v>34560</v>
      </c>
      <c r="I262" s="7">
        <f>Table2[[#This Row],[TARGET HARI]]/3</f>
        <v>11520</v>
      </c>
      <c r="J262" s="6">
        <v>390</v>
      </c>
    </row>
    <row r="263" spans="1:10">
      <c r="A263" t="s">
        <v>614</v>
      </c>
      <c r="B263" t="s">
        <v>615</v>
      </c>
      <c r="C263" s="6" t="s">
        <v>449</v>
      </c>
      <c r="D263" s="6">
        <v>1400</v>
      </c>
      <c r="E263" s="6">
        <v>6.15</v>
      </c>
      <c r="F263" s="6">
        <v>20</v>
      </c>
      <c r="H263" s="7">
        <f>(3600/Table2[[#This Row],[CT]])*G263*24</f>
        <v>0</v>
      </c>
      <c r="I263" s="7">
        <f>Table2[[#This Row],[TARGET HARI]]/3</f>
        <v>0</v>
      </c>
      <c r="J263" s="6">
        <v>458</v>
      </c>
    </row>
    <row r="264" spans="1:10">
      <c r="A264" t="s">
        <v>616</v>
      </c>
      <c r="B264" t="s">
        <v>617</v>
      </c>
      <c r="C264" s="6" t="s">
        <v>449</v>
      </c>
      <c r="D264" s="6">
        <v>1400</v>
      </c>
      <c r="E264" s="6">
        <v>6.15</v>
      </c>
      <c r="F264" s="6">
        <v>22</v>
      </c>
      <c r="H264" s="7">
        <f>(3600/Table2[[#This Row],[CT]])*G264*24</f>
        <v>0</v>
      </c>
      <c r="I264" s="7">
        <f>Table2[[#This Row],[TARGET HARI]]/3</f>
        <v>0</v>
      </c>
      <c r="J264" s="6">
        <v>394</v>
      </c>
    </row>
    <row r="265" spans="1:10">
      <c r="A265" t="s">
        <v>618</v>
      </c>
      <c r="B265" t="s">
        <v>619</v>
      </c>
      <c r="C265" s="6" t="s">
        <v>449</v>
      </c>
      <c r="D265" s="6">
        <v>3200</v>
      </c>
      <c r="E265" s="6">
        <v>4.75</v>
      </c>
      <c r="F265" s="6">
        <v>20</v>
      </c>
      <c r="H265" s="7">
        <f>(3600/Table2[[#This Row],[CT]])*G265*24</f>
        <v>0</v>
      </c>
      <c r="I265" s="7">
        <f>Table2[[#This Row],[TARGET HARI]]/3</f>
        <v>0</v>
      </c>
      <c r="J265" s="6">
        <v>671</v>
      </c>
    </row>
    <row r="266" spans="1:10">
      <c r="A266" t="s">
        <v>620</v>
      </c>
      <c r="B266" t="s">
        <v>621</v>
      </c>
      <c r="C266" s="6" t="s">
        <v>449</v>
      </c>
      <c r="D266" s="6">
        <v>1920</v>
      </c>
      <c r="E266" s="6">
        <v>5.7</v>
      </c>
      <c r="F266" s="6">
        <v>21</v>
      </c>
      <c r="H266" s="7">
        <f>(3600/Table2[[#This Row],[CT]])*G266*24</f>
        <v>0</v>
      </c>
      <c r="I266" s="7">
        <f>Table2[[#This Row],[TARGET HARI]]/3</f>
        <v>0</v>
      </c>
      <c r="J266" s="6">
        <v>413</v>
      </c>
    </row>
    <row r="267" spans="1:10">
      <c r="A267" t="s">
        <v>622</v>
      </c>
      <c r="B267" t="s">
        <v>623</v>
      </c>
      <c r="C267" s="6" t="s">
        <v>449</v>
      </c>
      <c r="D267" s="6">
        <v>800</v>
      </c>
      <c r="E267" s="6">
        <v>4.05</v>
      </c>
      <c r="F267" s="6">
        <v>20</v>
      </c>
      <c r="H267" s="7">
        <f>(3600/Table2[[#This Row],[CT]])*G267*24</f>
        <v>0</v>
      </c>
      <c r="I267" s="7">
        <f>Table2[[#This Row],[TARGET HARI]]/3</f>
        <v>0</v>
      </c>
      <c r="J267" s="6">
        <v>324</v>
      </c>
    </row>
    <row r="268" spans="1:10">
      <c r="A268" t="s">
        <v>624</v>
      </c>
      <c r="B268" t="s">
        <v>625</v>
      </c>
      <c r="C268" s="6" t="s">
        <v>449</v>
      </c>
      <c r="D268" s="6">
        <v>800</v>
      </c>
      <c r="E268" s="6">
        <v>4.05</v>
      </c>
      <c r="F268" s="6">
        <v>20</v>
      </c>
      <c r="H268" s="7">
        <f>(3600/Table2[[#This Row],[CT]])*G268*24</f>
        <v>0</v>
      </c>
      <c r="I268" s="7">
        <f>Table2[[#This Row],[TARGET HARI]]/3</f>
        <v>0</v>
      </c>
      <c r="J268" s="6">
        <v>324</v>
      </c>
    </row>
    <row r="269" spans="1:10">
      <c r="A269" t="s">
        <v>626</v>
      </c>
      <c r="B269" t="s">
        <v>627</v>
      </c>
      <c r="C269" s="6" t="s">
        <v>449</v>
      </c>
      <c r="D269" s="6">
        <v>800</v>
      </c>
      <c r="E269" s="6">
        <v>4.05</v>
      </c>
      <c r="F269" s="6">
        <v>20</v>
      </c>
      <c r="H269" s="7">
        <f>(3600/Table2[[#This Row],[CT]])*G269*24</f>
        <v>0</v>
      </c>
      <c r="I269" s="7">
        <f>Table2[[#This Row],[TARGET HARI]]/3</f>
        <v>0</v>
      </c>
      <c r="J269" s="6">
        <v>324</v>
      </c>
    </row>
    <row r="270" spans="1:10">
      <c r="A270" t="s">
        <v>628</v>
      </c>
      <c r="B270" t="s">
        <v>629</v>
      </c>
      <c r="C270" s="6" t="s">
        <v>449</v>
      </c>
      <c r="D270" s="6">
        <v>800</v>
      </c>
      <c r="E270" s="6">
        <v>9.5</v>
      </c>
      <c r="F270" s="6">
        <v>20</v>
      </c>
      <c r="H270" s="7">
        <f>(3600/Table2[[#This Row],[CT]])*G270*24</f>
        <v>0</v>
      </c>
      <c r="I270" s="7">
        <f>Table2[[#This Row],[TARGET HARI]]/3</f>
        <v>0</v>
      </c>
      <c r="J270" s="6">
        <v>324</v>
      </c>
    </row>
    <row r="271" spans="1:10">
      <c r="A271" t="s">
        <v>630</v>
      </c>
      <c r="B271" t="s">
        <v>631</v>
      </c>
      <c r="C271" s="6" t="s">
        <v>449</v>
      </c>
      <c r="D271" s="6">
        <v>1200</v>
      </c>
      <c r="E271" s="6">
        <v>9.5</v>
      </c>
      <c r="F271" s="6">
        <v>20</v>
      </c>
      <c r="H271" s="7">
        <f>(3600/Table2[[#This Row],[CT]])*G271*24</f>
        <v>0</v>
      </c>
      <c r="I271" s="7">
        <f>Table2[[#This Row],[TARGET HARI]]/3</f>
        <v>0</v>
      </c>
      <c r="J271" s="6">
        <v>407</v>
      </c>
    </row>
    <row r="272" spans="1:10">
      <c r="A272" t="s">
        <v>632</v>
      </c>
      <c r="B272" t="s">
        <v>633</v>
      </c>
      <c r="C272" s="6" t="s">
        <v>449</v>
      </c>
      <c r="D272" s="6">
        <v>800</v>
      </c>
      <c r="E272" s="6">
        <v>4.05</v>
      </c>
      <c r="F272" s="6">
        <v>20</v>
      </c>
      <c r="H272" s="7">
        <f>(3600/Table2[[#This Row],[CT]])*G272*24</f>
        <v>0</v>
      </c>
      <c r="I272" s="7">
        <f>Table2[[#This Row],[TARGET HARI]]/3</f>
        <v>0</v>
      </c>
      <c r="J272" s="6">
        <v>660</v>
      </c>
    </row>
    <row r="273" spans="1:10">
      <c r="A273" t="s">
        <v>634</v>
      </c>
      <c r="B273" t="s">
        <v>635</v>
      </c>
      <c r="C273" s="6" t="s">
        <v>449</v>
      </c>
      <c r="D273" s="6">
        <v>800</v>
      </c>
      <c r="E273" s="6">
        <v>4.05</v>
      </c>
      <c r="F273" s="6">
        <v>20</v>
      </c>
      <c r="H273" s="7">
        <f>(3600/Table2[[#This Row],[CT]])*G273*24</f>
        <v>0</v>
      </c>
      <c r="I273" s="7">
        <f>Table2[[#This Row],[TARGET HARI]]/3</f>
        <v>0</v>
      </c>
      <c r="J273" s="6">
        <v>660</v>
      </c>
    </row>
    <row r="274" spans="1:10">
      <c r="A274" t="s">
        <v>636</v>
      </c>
      <c r="B274" t="s">
        <v>637</v>
      </c>
      <c r="C274" s="6" t="s">
        <v>449</v>
      </c>
      <c r="D274" s="6">
        <v>800</v>
      </c>
      <c r="E274" s="6">
        <v>4.05</v>
      </c>
      <c r="F274" s="6">
        <v>20</v>
      </c>
      <c r="H274" s="7">
        <f>(3600/Table2[[#This Row],[CT]])*G274*24</f>
        <v>0</v>
      </c>
      <c r="I274" s="7">
        <f>Table2[[#This Row],[TARGET HARI]]/3</f>
        <v>0</v>
      </c>
      <c r="J274" s="6">
        <v>660</v>
      </c>
    </row>
    <row r="275" spans="1:10">
      <c r="A275" t="s">
        <v>638</v>
      </c>
      <c r="B275" t="s">
        <v>639</v>
      </c>
      <c r="C275" s="6" t="s">
        <v>449</v>
      </c>
      <c r="D275" s="6">
        <v>0</v>
      </c>
      <c r="E275" s="6">
        <v>9.5</v>
      </c>
      <c r="F275" s="6">
        <v>22</v>
      </c>
      <c r="G275" s="6">
        <v>8</v>
      </c>
      <c r="H275" s="7">
        <f>(3600/Table2[[#This Row],[CT]])*G275*24</f>
        <v>31418.181818181816</v>
      </c>
      <c r="I275" s="7">
        <f>Table2[[#This Row],[TARGET HARI]]/3</f>
        <v>10472.727272727272</v>
      </c>
      <c r="J275" s="6">
        <v>270</v>
      </c>
    </row>
    <row r="276" spans="1:10">
      <c r="A276" t="s">
        <v>640</v>
      </c>
      <c r="B276" t="s">
        <v>641</v>
      </c>
      <c r="C276" s="6" t="s">
        <v>449</v>
      </c>
      <c r="D276" s="6">
        <v>0</v>
      </c>
      <c r="E276" s="6">
        <v>6.2</v>
      </c>
      <c r="F276" s="6">
        <v>20</v>
      </c>
      <c r="H276" s="7">
        <f>(3600/Table2[[#This Row],[CT]])*G276*24</f>
        <v>0</v>
      </c>
      <c r="I276" s="7">
        <f>Table2[[#This Row],[TARGET HARI]]/3</f>
        <v>0</v>
      </c>
      <c r="J276" s="6">
        <v>506</v>
      </c>
    </row>
    <row r="277" spans="1:10">
      <c r="D277" s="6"/>
      <c r="H277" s="7"/>
      <c r="I277" s="7"/>
      <c r="J277" s="6"/>
    </row>
    <row r="278" spans="1:10">
      <c r="A278" t="s">
        <v>642</v>
      </c>
      <c r="B278" t="s">
        <v>643</v>
      </c>
      <c r="C278" s="6" t="s">
        <v>449</v>
      </c>
      <c r="D278" s="6">
        <v>0</v>
      </c>
      <c r="E278" s="6">
        <v>10</v>
      </c>
      <c r="F278" s="6">
        <v>26</v>
      </c>
      <c r="G278" s="6">
        <v>8</v>
      </c>
      <c r="H278" s="7">
        <f>(3600/Table2[[#This Row],[CT]])*G278*24</f>
        <v>26584.615384615383</v>
      </c>
      <c r="I278" s="7">
        <f>Table2[[#This Row],[TARGET HARI]]/3</f>
        <v>8861.538461538461</v>
      </c>
      <c r="J278" s="6">
        <v>421</v>
      </c>
    </row>
    <row r="279" spans="1:10">
      <c r="A279" t="s">
        <v>644</v>
      </c>
      <c r="B279" t="s">
        <v>645</v>
      </c>
      <c r="C279" s="6" t="s">
        <v>449</v>
      </c>
      <c r="D279" s="6">
        <v>528</v>
      </c>
      <c r="E279" s="6">
        <v>10</v>
      </c>
      <c r="F279" s="6">
        <v>20</v>
      </c>
      <c r="G279" s="6">
        <v>8</v>
      </c>
      <c r="H279" s="7">
        <f>(3600/Table2[[#This Row],[CT]])*G279*24</f>
        <v>34560</v>
      </c>
      <c r="I279" s="7">
        <f>Table2[[#This Row],[TARGET HARI]]/3</f>
        <v>11520</v>
      </c>
      <c r="J279" s="6">
        <v>502</v>
      </c>
    </row>
    <row r="280" spans="1:10">
      <c r="A280" t="s">
        <v>646</v>
      </c>
      <c r="B280" t="s">
        <v>647</v>
      </c>
      <c r="C280" s="6" t="s">
        <v>449</v>
      </c>
      <c r="D280" s="6">
        <v>0</v>
      </c>
      <c r="E280" s="6">
        <v>8</v>
      </c>
      <c r="F280" s="6">
        <v>26</v>
      </c>
      <c r="G280" s="6">
        <v>8</v>
      </c>
      <c r="H280" s="7">
        <f>(3600/Table2[[#This Row],[CT]])*G280*24</f>
        <v>26584.615384615383</v>
      </c>
      <c r="I280" s="7">
        <f>Table2[[#This Row],[TARGET HARI]]/3</f>
        <v>8861.538461538461</v>
      </c>
      <c r="J280" s="6">
        <v>421</v>
      </c>
    </row>
    <row r="281" spans="1:10">
      <c r="A281" t="s">
        <v>648</v>
      </c>
      <c r="B281" t="s">
        <v>649</v>
      </c>
      <c r="C281" s="6" t="s">
        <v>449</v>
      </c>
      <c r="D281" s="6">
        <v>0</v>
      </c>
      <c r="E281" s="6">
        <v>8</v>
      </c>
      <c r="F281" s="6">
        <v>26</v>
      </c>
      <c r="G281" s="6">
        <v>8</v>
      </c>
      <c r="H281" s="7">
        <f>(3600/Table2[[#This Row],[CT]])*G281*24</f>
        <v>26584.615384615383</v>
      </c>
      <c r="I281" s="7">
        <f>Table2[[#This Row],[TARGET HARI]]/3</f>
        <v>8861.538461538461</v>
      </c>
      <c r="J281" s="6">
        <v>600</v>
      </c>
    </row>
    <row r="282" spans="1:10">
      <c r="A282" t="s">
        <v>650</v>
      </c>
      <c r="B282" t="s">
        <v>651</v>
      </c>
      <c r="C282" s="6" t="s">
        <v>449</v>
      </c>
      <c r="D282" s="6">
        <v>0</v>
      </c>
      <c r="E282" s="6">
        <v>4.8499999999999996</v>
      </c>
      <c r="F282" s="6">
        <v>20</v>
      </c>
      <c r="H282" s="7">
        <f>(3600/Table2[[#This Row],[CT]])*G282*24</f>
        <v>0</v>
      </c>
      <c r="I282" s="7">
        <f>Table2[[#This Row],[TARGET HARI]]/3</f>
        <v>0</v>
      </c>
      <c r="J282" s="6">
        <v>396</v>
      </c>
    </row>
    <row r="283" spans="1:10">
      <c r="A283" t="s">
        <v>652</v>
      </c>
      <c r="B283" t="s">
        <v>653</v>
      </c>
      <c r="C283" s="6" t="s">
        <v>449</v>
      </c>
      <c r="D283" s="6">
        <v>0</v>
      </c>
      <c r="E283" s="6">
        <v>4.8499999999999996</v>
      </c>
      <c r="F283" s="6">
        <v>20</v>
      </c>
      <c r="H283" s="7">
        <f>(3600/Table2[[#This Row],[CT]])*G283*24</f>
        <v>0</v>
      </c>
      <c r="I283" s="7">
        <f>Table2[[#This Row],[TARGET HARI]]/3</f>
        <v>0</v>
      </c>
      <c r="J283" s="6">
        <v>396</v>
      </c>
    </row>
    <row r="284" spans="1:10">
      <c r="A284" t="s">
        <v>654</v>
      </c>
      <c r="B284" t="s">
        <v>655</v>
      </c>
      <c r="C284" s="6" t="s">
        <v>449</v>
      </c>
      <c r="D284" s="6">
        <v>0</v>
      </c>
      <c r="E284" s="6">
        <v>6.9</v>
      </c>
      <c r="F284" s="6">
        <v>20</v>
      </c>
      <c r="G284" s="6">
        <v>8</v>
      </c>
      <c r="H284" s="7">
        <f>(3600/Table2[[#This Row],[CT]])*G284*24</f>
        <v>34560</v>
      </c>
      <c r="I284" s="7">
        <f>Table2[[#This Row],[TARGET HARI]]/3</f>
        <v>11520</v>
      </c>
      <c r="J284" s="6">
        <v>324</v>
      </c>
    </row>
    <row r="285" spans="1:10">
      <c r="A285" t="s">
        <v>656</v>
      </c>
      <c r="B285" t="s">
        <v>657</v>
      </c>
      <c r="C285" s="6" t="s">
        <v>449</v>
      </c>
      <c r="D285" s="6">
        <v>1400</v>
      </c>
      <c r="E285" s="6">
        <v>6.15</v>
      </c>
      <c r="F285" s="6">
        <v>23</v>
      </c>
      <c r="G285" s="6">
        <v>16</v>
      </c>
      <c r="H285" s="7">
        <f>(3600/Table2[[#This Row],[CT]])*G285*24</f>
        <v>60104.34782608696</v>
      </c>
      <c r="I285" s="7">
        <f>Table2[[#This Row],[TARGET HARI]]/3</f>
        <v>20034.782608695652</v>
      </c>
      <c r="J285" s="6">
        <v>338</v>
      </c>
    </row>
    <row r="286" spans="1:10">
      <c r="A286" t="s">
        <v>658</v>
      </c>
      <c r="B286" t="s">
        <v>659</v>
      </c>
      <c r="C286" s="6" t="s">
        <v>449</v>
      </c>
      <c r="D286" s="6">
        <v>1400</v>
      </c>
      <c r="E286" s="6">
        <v>6.15</v>
      </c>
      <c r="F286" s="6">
        <v>20</v>
      </c>
      <c r="G286" s="6">
        <v>16</v>
      </c>
      <c r="H286" s="7">
        <f>(3600/Table2[[#This Row],[CT]])*G286*24</f>
        <v>69120</v>
      </c>
      <c r="I286" s="7">
        <f>Table2[[#This Row],[TARGET HARI]]/3</f>
        <v>23040</v>
      </c>
      <c r="J286" s="6">
        <v>338</v>
      </c>
    </row>
    <row r="287" spans="1:10">
      <c r="A287" t="s">
        <v>660</v>
      </c>
      <c r="B287" t="s">
        <v>661</v>
      </c>
      <c r="C287" s="6" t="s">
        <v>449</v>
      </c>
      <c r="D287" s="6">
        <v>1400</v>
      </c>
      <c r="E287" s="6">
        <v>4.05</v>
      </c>
      <c r="F287" s="6">
        <v>22</v>
      </c>
      <c r="H287" s="7">
        <f>(3600/Table2[[#This Row],[CT]])*G287*24</f>
        <v>0</v>
      </c>
      <c r="I287" s="7">
        <f>Table2[[#This Row],[TARGET HARI]]/3</f>
        <v>0</v>
      </c>
      <c r="J287" s="6">
        <v>458</v>
      </c>
    </row>
    <row r="288" spans="1:10">
      <c r="A288" t="s">
        <v>662</v>
      </c>
      <c r="B288" t="s">
        <v>663</v>
      </c>
      <c r="C288" s="6" t="s">
        <v>449</v>
      </c>
      <c r="D288" s="6">
        <v>1400</v>
      </c>
      <c r="E288" s="6">
        <v>6.15</v>
      </c>
      <c r="F288" s="6">
        <v>22</v>
      </c>
      <c r="H288" s="7">
        <f>(3600/Table2[[#This Row],[CT]])*G288*24</f>
        <v>0</v>
      </c>
      <c r="I288" s="7">
        <f>Table2[[#This Row],[TARGET HARI]]/3</f>
        <v>0</v>
      </c>
      <c r="J288" s="6">
        <v>394</v>
      </c>
    </row>
    <row r="289" spans="1:10">
      <c r="A289" t="s">
        <v>664</v>
      </c>
      <c r="B289" t="s">
        <v>665</v>
      </c>
      <c r="C289" s="6" t="s">
        <v>449</v>
      </c>
      <c r="D289" s="6">
        <v>1400</v>
      </c>
      <c r="E289" s="6">
        <v>6.15</v>
      </c>
      <c r="F289" s="6">
        <v>22</v>
      </c>
      <c r="G289" s="6">
        <v>16</v>
      </c>
      <c r="H289" s="7">
        <f>(3600/Table2[[#This Row],[CT]])*G289*24</f>
        <v>62836.363636363632</v>
      </c>
      <c r="I289" s="7">
        <f>Table2[[#This Row],[TARGET HARI]]/3</f>
        <v>20945.454545454544</v>
      </c>
      <c r="J289" s="6">
        <v>394</v>
      </c>
    </row>
    <row r="290" spans="1:10">
      <c r="A290" t="s">
        <v>666</v>
      </c>
      <c r="B290" t="s">
        <v>667</v>
      </c>
      <c r="C290" s="6" t="s">
        <v>449</v>
      </c>
      <c r="D290" s="6">
        <v>128</v>
      </c>
      <c r="E290" s="6">
        <v>8</v>
      </c>
      <c r="F290" s="6">
        <v>20</v>
      </c>
      <c r="G290" s="6">
        <v>4</v>
      </c>
      <c r="H290" s="7">
        <f>(3600/Table2[[#This Row],[CT]])*G290*24</f>
        <v>17280</v>
      </c>
      <c r="I290" s="7">
        <f>Table2[[#This Row],[TARGET HARI]]/3</f>
        <v>5760</v>
      </c>
      <c r="J290" s="6">
        <v>392</v>
      </c>
    </row>
    <row r="291" spans="1:10">
      <c r="A291" t="s">
        <v>668</v>
      </c>
      <c r="B291" t="s">
        <v>669</v>
      </c>
      <c r="C291" s="6" t="s">
        <v>449</v>
      </c>
      <c r="D291" s="6">
        <v>1630</v>
      </c>
      <c r="E291" s="6">
        <v>6.85</v>
      </c>
      <c r="F291" s="6">
        <v>20</v>
      </c>
      <c r="G291" s="6">
        <v>8</v>
      </c>
      <c r="H291" s="7">
        <f>(3600/Table2[[#This Row],[CT]])*G291*24</f>
        <v>34560</v>
      </c>
      <c r="I291" s="7">
        <f>Table2[[#This Row],[TARGET HARI]]/3</f>
        <v>11520</v>
      </c>
      <c r="J291" s="6">
        <v>376</v>
      </c>
    </row>
    <row r="292" spans="1:10">
      <c r="A292" t="s">
        <v>670</v>
      </c>
      <c r="B292" t="s">
        <v>671</v>
      </c>
      <c r="C292" s="6" t="s">
        <v>449</v>
      </c>
      <c r="D292" s="6">
        <v>1630</v>
      </c>
      <c r="E292" s="6">
        <v>6.85</v>
      </c>
      <c r="F292" s="6">
        <v>20</v>
      </c>
      <c r="G292" s="6">
        <v>8</v>
      </c>
      <c r="H292" s="7">
        <f>(3600/Table2[[#This Row],[CT]])*G292*24</f>
        <v>34560</v>
      </c>
      <c r="I292" s="7">
        <f>Table2[[#This Row],[TARGET HARI]]/3</f>
        <v>11520</v>
      </c>
      <c r="J292" s="6">
        <v>376</v>
      </c>
    </row>
    <row r="293" spans="1:10">
      <c r="A293" t="s">
        <v>672</v>
      </c>
      <c r="B293" t="s">
        <v>673</v>
      </c>
      <c r="C293" s="6" t="s">
        <v>449</v>
      </c>
      <c r="D293" s="6">
        <v>800</v>
      </c>
      <c r="E293" s="6">
        <v>4.05</v>
      </c>
      <c r="F293" s="6">
        <v>20</v>
      </c>
      <c r="H293" s="7">
        <f>(3600/Table2[[#This Row],[CT]])*G293*24</f>
        <v>0</v>
      </c>
      <c r="I293" s="7">
        <f>Table2[[#This Row],[TARGET HARI]]/3</f>
        <v>0</v>
      </c>
      <c r="J293" s="6">
        <v>324</v>
      </c>
    </row>
    <row r="294" spans="1:10">
      <c r="A294" t="s">
        <v>674</v>
      </c>
      <c r="B294" t="s">
        <v>675</v>
      </c>
      <c r="C294" s="6" t="s">
        <v>449</v>
      </c>
      <c r="D294" s="6">
        <v>1630</v>
      </c>
      <c r="E294" s="6">
        <v>6.85</v>
      </c>
      <c r="F294" s="6">
        <v>20</v>
      </c>
      <c r="G294" s="6">
        <v>8</v>
      </c>
      <c r="H294" s="7">
        <f>(3600/Table2[[#This Row],[CT]])*G294*24</f>
        <v>34560</v>
      </c>
      <c r="I294" s="7">
        <f>Table2[[#This Row],[TARGET HARI]]/3</f>
        <v>11520</v>
      </c>
      <c r="J294" s="6">
        <v>376</v>
      </c>
    </row>
    <row r="295" spans="1:10">
      <c r="A295" t="s">
        <v>676</v>
      </c>
      <c r="B295" t="s">
        <v>677</v>
      </c>
      <c r="C295" s="6" t="s">
        <v>449</v>
      </c>
      <c r="D295" s="6">
        <v>0</v>
      </c>
      <c r="E295" s="6">
        <v>6.9</v>
      </c>
      <c r="F295" s="6">
        <v>18</v>
      </c>
      <c r="G295" s="6">
        <v>8</v>
      </c>
      <c r="H295" s="7">
        <f>(3600/Table2[[#This Row],[CT]])*G295*24</f>
        <v>38400</v>
      </c>
      <c r="I295" s="7">
        <f>Table2[[#This Row],[TARGET HARI]]/3</f>
        <v>12800</v>
      </c>
      <c r="J295" s="6">
        <v>324</v>
      </c>
    </row>
    <row r="296" spans="1:10">
      <c r="A296" t="s">
        <v>678</v>
      </c>
      <c r="B296" t="s">
        <v>679</v>
      </c>
      <c r="C296" s="6" t="s">
        <v>449</v>
      </c>
      <c r="D296" s="6">
        <v>800</v>
      </c>
      <c r="E296" s="6">
        <v>4.05</v>
      </c>
      <c r="F296" s="6">
        <v>20</v>
      </c>
      <c r="H296" s="7">
        <f>(3600/Table2[[#This Row],[CT]])*G296*24</f>
        <v>0</v>
      </c>
      <c r="I296" s="7">
        <f>Table2[[#This Row],[TARGET HARI]]/3</f>
        <v>0</v>
      </c>
      <c r="J296" s="6">
        <v>324</v>
      </c>
    </row>
    <row r="297" spans="1:10">
      <c r="A297" t="s">
        <v>680</v>
      </c>
      <c r="B297" t="s">
        <v>681</v>
      </c>
      <c r="C297" s="6" t="s">
        <v>449</v>
      </c>
      <c r="D297" s="6">
        <v>1400</v>
      </c>
      <c r="E297" s="6">
        <v>6.15</v>
      </c>
      <c r="F297" s="6">
        <v>20</v>
      </c>
      <c r="G297" s="6">
        <v>16</v>
      </c>
      <c r="H297" s="7">
        <f>(3600/Table2[[#This Row],[CT]])*G297*24</f>
        <v>69120</v>
      </c>
      <c r="I297" s="7">
        <f>Table2[[#This Row],[TARGET HARI]]/3</f>
        <v>23040</v>
      </c>
      <c r="J297" s="6">
        <v>338</v>
      </c>
    </row>
    <row r="298" spans="1:10">
      <c r="A298" t="s">
        <v>682</v>
      </c>
      <c r="B298" t="s">
        <v>683</v>
      </c>
      <c r="C298" s="6" t="s">
        <v>449</v>
      </c>
      <c r="D298" s="6">
        <v>800</v>
      </c>
      <c r="E298" s="6">
        <v>4.05</v>
      </c>
      <c r="F298" s="6">
        <v>22</v>
      </c>
      <c r="H298" s="7">
        <f>(3600/Table2[[#This Row],[CT]])*G298*24</f>
        <v>0</v>
      </c>
      <c r="I298" s="7">
        <f>Table2[[#This Row],[TARGET HARI]]/3</f>
        <v>0</v>
      </c>
      <c r="J298" s="6">
        <v>458</v>
      </c>
    </row>
    <row r="299" spans="1:10">
      <c r="A299" t="s">
        <v>684</v>
      </c>
      <c r="B299" t="s">
        <v>685</v>
      </c>
      <c r="C299" s="6" t="s">
        <v>449</v>
      </c>
      <c r="D299" s="6">
        <v>900</v>
      </c>
      <c r="E299" s="6">
        <v>4.05</v>
      </c>
      <c r="F299" s="6">
        <v>25</v>
      </c>
      <c r="H299" s="7">
        <f>(3600/Table2[[#This Row],[CT]])*G299*24</f>
        <v>0</v>
      </c>
      <c r="I299" s="7">
        <f>Table2[[#This Row],[TARGET HARI]]/3</f>
        <v>0</v>
      </c>
      <c r="J299" s="6">
        <v>458</v>
      </c>
    </row>
    <row r="300" spans="1:10">
      <c r="A300" t="s">
        <v>686</v>
      </c>
      <c r="B300" t="s">
        <v>687</v>
      </c>
      <c r="C300" s="6" t="s">
        <v>449</v>
      </c>
      <c r="D300" s="6">
        <v>1400</v>
      </c>
      <c r="E300" s="6">
        <v>6.15</v>
      </c>
      <c r="F300" s="6">
        <v>23</v>
      </c>
      <c r="G300" s="6">
        <v>16</v>
      </c>
      <c r="H300" s="7">
        <f>(3600/Table2[[#This Row],[CT]])*G300*24</f>
        <v>60104.34782608696</v>
      </c>
      <c r="I300" s="7">
        <f>Table2[[#This Row],[TARGET HARI]]/3</f>
        <v>20034.782608695652</v>
      </c>
      <c r="J300" s="6">
        <v>394</v>
      </c>
    </row>
    <row r="301" spans="1:10">
      <c r="A301" t="s">
        <v>688</v>
      </c>
      <c r="B301" t="s">
        <v>689</v>
      </c>
      <c r="C301" s="6" t="s">
        <v>449</v>
      </c>
      <c r="D301" s="6">
        <v>1000</v>
      </c>
      <c r="E301" s="6">
        <v>6.2</v>
      </c>
      <c r="F301" s="6">
        <v>20</v>
      </c>
      <c r="G301" s="6">
        <v>16</v>
      </c>
      <c r="H301" s="7">
        <f>(3600/Table2[[#This Row],[CT]])*G301*24</f>
        <v>69120</v>
      </c>
      <c r="I301" s="7">
        <f>Table2[[#This Row],[TARGET HARI]]/3</f>
        <v>23040</v>
      </c>
      <c r="J301" s="6">
        <v>338</v>
      </c>
    </row>
    <row r="302" spans="1:10">
      <c r="A302" t="s">
        <v>690</v>
      </c>
      <c r="B302" t="s">
        <v>691</v>
      </c>
      <c r="C302" s="6" t="s">
        <v>449</v>
      </c>
      <c r="D302" s="6">
        <v>1000</v>
      </c>
      <c r="E302" s="6">
        <v>6.2</v>
      </c>
      <c r="F302" s="6">
        <v>20</v>
      </c>
      <c r="G302" s="6">
        <v>16</v>
      </c>
      <c r="H302" s="7">
        <f>(3600/Table2[[#This Row],[CT]])*G302*24</f>
        <v>69120</v>
      </c>
      <c r="I302" s="7">
        <f>Table2[[#This Row],[TARGET HARI]]/3</f>
        <v>23040</v>
      </c>
      <c r="J302" s="6">
        <v>338</v>
      </c>
    </row>
    <row r="303" spans="1:10">
      <c r="A303" t="s">
        <v>692</v>
      </c>
      <c r="B303" t="s">
        <v>693</v>
      </c>
      <c r="C303" s="6" t="s">
        <v>449</v>
      </c>
      <c r="D303" s="6">
        <v>1920</v>
      </c>
      <c r="E303" s="6">
        <v>1.2</v>
      </c>
      <c r="F303" s="6">
        <v>18</v>
      </c>
      <c r="G303" s="6">
        <v>18</v>
      </c>
      <c r="H303" s="7">
        <f>(3600/Table2[[#This Row],[CT]])*G303*24</f>
        <v>86400</v>
      </c>
      <c r="I303" s="7">
        <f>Table2[[#This Row],[TARGET HARI]]/3</f>
        <v>28800</v>
      </c>
      <c r="J303" s="6">
        <v>64</v>
      </c>
    </row>
    <row r="304" spans="1:10">
      <c r="A304" t="s">
        <v>694</v>
      </c>
      <c r="B304" t="s">
        <v>695</v>
      </c>
      <c r="C304" s="6" t="s">
        <v>449</v>
      </c>
      <c r="D304" s="6">
        <v>1920</v>
      </c>
      <c r="E304" s="6">
        <v>1.2</v>
      </c>
      <c r="F304" s="6">
        <v>18</v>
      </c>
      <c r="G304" s="6">
        <v>16</v>
      </c>
      <c r="H304" s="7">
        <f>(3600/Table2[[#This Row],[CT]])*G304*24</f>
        <v>76800</v>
      </c>
      <c r="I304" s="7">
        <f>Table2[[#This Row],[TARGET HARI]]/3</f>
        <v>25600</v>
      </c>
      <c r="J304" s="6">
        <v>64</v>
      </c>
    </row>
    <row r="305" spans="1:10">
      <c r="A305" t="s">
        <v>696</v>
      </c>
      <c r="B305" t="s">
        <v>697</v>
      </c>
      <c r="C305" s="6" t="s">
        <v>449</v>
      </c>
      <c r="D305" s="6">
        <v>1000</v>
      </c>
      <c r="E305" s="6">
        <v>6.2</v>
      </c>
      <c r="F305" s="6">
        <v>20</v>
      </c>
      <c r="G305" s="6">
        <v>16</v>
      </c>
      <c r="H305" s="7">
        <f>(3600/Table2[[#This Row],[CT]])*G305*24</f>
        <v>69120</v>
      </c>
      <c r="I305" s="7">
        <f>Table2[[#This Row],[TARGET HARI]]/3</f>
        <v>23040</v>
      </c>
      <c r="J305" s="6">
        <v>338</v>
      </c>
    </row>
    <row r="306" spans="1:10">
      <c r="A306" t="s">
        <v>698</v>
      </c>
      <c r="B306" t="s">
        <v>699</v>
      </c>
      <c r="C306" s="6" t="s">
        <v>449</v>
      </c>
      <c r="D306" s="6">
        <v>1000</v>
      </c>
      <c r="E306" s="6">
        <v>6.2</v>
      </c>
      <c r="F306" s="6">
        <v>20</v>
      </c>
      <c r="G306" s="6">
        <v>16</v>
      </c>
      <c r="H306" s="7">
        <f>(3600/Table2[[#This Row],[CT]])*G306*24</f>
        <v>69120</v>
      </c>
      <c r="I306" s="7">
        <f>Table2[[#This Row],[TARGET HARI]]/3</f>
        <v>23040</v>
      </c>
      <c r="J306" s="6">
        <v>338</v>
      </c>
    </row>
    <row r="307" spans="1:10">
      <c r="A307" t="s">
        <v>700</v>
      </c>
      <c r="B307" t="s">
        <v>701</v>
      </c>
      <c r="C307" s="6" t="s">
        <v>449</v>
      </c>
      <c r="D307" s="6">
        <v>1000</v>
      </c>
      <c r="E307" s="6">
        <v>6.2</v>
      </c>
      <c r="F307" s="6">
        <v>20</v>
      </c>
      <c r="G307" s="6">
        <v>16</v>
      </c>
      <c r="H307" s="7">
        <f>(3600/Table2[[#This Row],[CT]])*G307*24</f>
        <v>69120</v>
      </c>
      <c r="I307" s="7">
        <f>Table2[[#This Row],[TARGET HARI]]/3</f>
        <v>23040</v>
      </c>
      <c r="J307" s="6">
        <v>338</v>
      </c>
    </row>
    <row r="308" spans="1:10">
      <c r="A308" t="s">
        <v>702</v>
      </c>
      <c r="B308" t="s">
        <v>703</v>
      </c>
      <c r="C308" s="6" t="s">
        <v>449</v>
      </c>
      <c r="D308" s="6">
        <v>1000</v>
      </c>
      <c r="E308" s="6">
        <v>6.2</v>
      </c>
      <c r="F308" s="6">
        <v>20</v>
      </c>
      <c r="G308" s="6">
        <v>16</v>
      </c>
      <c r="H308" s="7">
        <f>(3600/Table2[[#This Row],[CT]])*G308*24</f>
        <v>69120</v>
      </c>
      <c r="I308" s="7">
        <f>Table2[[#This Row],[TARGET HARI]]/3</f>
        <v>23040</v>
      </c>
      <c r="J308" s="6">
        <v>338</v>
      </c>
    </row>
    <row r="309" spans="1:10">
      <c r="A309" t="s">
        <v>704</v>
      </c>
      <c r="B309" t="s">
        <v>705</v>
      </c>
      <c r="C309" s="6" t="s">
        <v>449</v>
      </c>
      <c r="D309" s="6">
        <v>1000</v>
      </c>
      <c r="E309" s="6">
        <v>6.2</v>
      </c>
      <c r="F309" s="6">
        <v>20</v>
      </c>
      <c r="G309" s="6">
        <v>16</v>
      </c>
      <c r="H309" s="7">
        <f>(3600/Table2[[#This Row],[CT]])*G309*24</f>
        <v>69120</v>
      </c>
      <c r="I309" s="7">
        <f>Table2[[#This Row],[TARGET HARI]]/3</f>
        <v>23040</v>
      </c>
      <c r="J309" s="6">
        <v>338</v>
      </c>
    </row>
    <row r="310" spans="1:10">
      <c r="A310" t="s">
        <v>706</v>
      </c>
      <c r="B310" t="s">
        <v>707</v>
      </c>
      <c r="C310" s="6" t="s">
        <v>449</v>
      </c>
      <c r="D310" s="6">
        <v>1050</v>
      </c>
      <c r="E310" s="6">
        <v>5.5</v>
      </c>
      <c r="F310" s="6">
        <v>22</v>
      </c>
      <c r="G310" s="6">
        <v>6</v>
      </c>
      <c r="H310" s="7">
        <f>(3600/Table2[[#This Row],[CT]])*G310*24</f>
        <v>23563.63636363636</v>
      </c>
      <c r="I310" s="7">
        <f>Table2[[#This Row],[TARGET HARI]]/3</f>
        <v>7854.5454545454531</v>
      </c>
      <c r="J310" s="6">
        <v>727</v>
      </c>
    </row>
    <row r="311" spans="1:10">
      <c r="A311" t="s">
        <v>708</v>
      </c>
      <c r="B311" t="s">
        <v>709</v>
      </c>
      <c r="C311" s="6" t="s">
        <v>449</v>
      </c>
      <c r="D311" s="6">
        <v>140</v>
      </c>
      <c r="E311" s="6">
        <v>9.5</v>
      </c>
      <c r="F311" s="6">
        <v>25</v>
      </c>
      <c r="G311" s="6">
        <v>8</v>
      </c>
      <c r="H311" s="7">
        <f>(3600/Table2[[#This Row],[CT]])*G311*24</f>
        <v>27648</v>
      </c>
      <c r="I311" s="7">
        <f>Table2[[#This Row],[TARGET HARI]]/3</f>
        <v>9216</v>
      </c>
      <c r="J311" s="6">
        <v>457</v>
      </c>
    </row>
    <row r="312" spans="1:10">
      <c r="A312" t="s">
        <v>710</v>
      </c>
      <c r="B312" t="s">
        <v>711</v>
      </c>
      <c r="C312" s="6" t="s">
        <v>449</v>
      </c>
      <c r="D312" s="6">
        <v>1821</v>
      </c>
      <c r="E312" s="6">
        <v>6.3</v>
      </c>
      <c r="F312" s="6">
        <v>18</v>
      </c>
      <c r="G312" s="6">
        <v>8</v>
      </c>
      <c r="H312" s="7">
        <f>(3600/Table2[[#This Row],[CT]])*G312*24</f>
        <v>38400</v>
      </c>
      <c r="I312" s="7">
        <f>Table2[[#This Row],[TARGET HARI]]/3</f>
        <v>12800</v>
      </c>
      <c r="J312" s="6">
        <v>400</v>
      </c>
    </row>
    <row r="313" spans="1:10">
      <c r="A313" t="s">
        <v>712</v>
      </c>
      <c r="B313" t="s">
        <v>713</v>
      </c>
      <c r="C313" s="6" t="s">
        <v>449</v>
      </c>
      <c r="D313" s="6">
        <v>1821</v>
      </c>
      <c r="E313" s="6">
        <v>4.7</v>
      </c>
      <c r="F313" s="6">
        <v>18</v>
      </c>
      <c r="G313" s="6">
        <v>8</v>
      </c>
      <c r="H313" s="7">
        <f>(3600/Table2[[#This Row],[CT]])*G313*24</f>
        <v>38400</v>
      </c>
      <c r="I313" s="7">
        <f>Table2[[#This Row],[TARGET HARI]]/3</f>
        <v>12800</v>
      </c>
      <c r="J313" s="6">
        <v>366</v>
      </c>
    </row>
    <row r="314" spans="1:10">
      <c r="A314" t="s">
        <v>714</v>
      </c>
      <c r="B314" t="s">
        <v>715</v>
      </c>
      <c r="C314" s="6" t="s">
        <v>449</v>
      </c>
      <c r="D314" s="6">
        <v>950</v>
      </c>
      <c r="E314" s="6">
        <v>6.3</v>
      </c>
      <c r="F314" s="6">
        <v>18</v>
      </c>
      <c r="H314" s="7">
        <f>(3600/Table2[[#This Row],[CT]])*G314*24</f>
        <v>0</v>
      </c>
      <c r="I314" s="7">
        <f>Table2[[#This Row],[TARGET HARI]]/3</f>
        <v>0</v>
      </c>
      <c r="J314" s="6">
        <v>507</v>
      </c>
    </row>
    <row r="315" spans="1:10">
      <c r="A315" t="s">
        <v>716</v>
      </c>
      <c r="B315" t="s">
        <v>717</v>
      </c>
      <c r="C315" s="6" t="s">
        <v>449</v>
      </c>
      <c r="D315" s="6">
        <v>950</v>
      </c>
      <c r="E315" s="6">
        <v>6.3</v>
      </c>
      <c r="F315" s="6">
        <v>25</v>
      </c>
      <c r="G315" s="6">
        <v>6</v>
      </c>
      <c r="H315" s="7">
        <f>(3600/Table2[[#This Row],[CT]])*G315*24</f>
        <v>20736</v>
      </c>
      <c r="I315" s="7">
        <f>Table2[[#This Row],[TARGET HARI]]/3</f>
        <v>6912</v>
      </c>
      <c r="J315" s="6">
        <v>507</v>
      </c>
    </row>
    <row r="316" spans="1:10">
      <c r="A316" t="s">
        <v>718</v>
      </c>
      <c r="B316" t="s">
        <v>719</v>
      </c>
      <c r="C316" s="6" t="s">
        <v>449</v>
      </c>
      <c r="D316" s="6">
        <v>950</v>
      </c>
      <c r="E316" s="6">
        <v>6.3</v>
      </c>
      <c r="F316" s="6">
        <v>25</v>
      </c>
      <c r="G316" s="6">
        <v>6</v>
      </c>
      <c r="H316" s="7">
        <f>(3600/Table2[[#This Row],[CT]])*G316*24</f>
        <v>20736</v>
      </c>
      <c r="I316" s="7">
        <f>Table2[[#This Row],[TARGET HARI]]/3</f>
        <v>6912</v>
      </c>
      <c r="J316" s="6">
        <v>507</v>
      </c>
    </row>
    <row r="317" spans="1:10">
      <c r="A317" t="s">
        <v>720</v>
      </c>
      <c r="B317" t="s">
        <v>721</v>
      </c>
      <c r="C317" s="6" t="s">
        <v>449</v>
      </c>
      <c r="D317" s="6">
        <v>300</v>
      </c>
      <c r="E317" s="6">
        <v>6.3</v>
      </c>
      <c r="F317" s="6">
        <v>22</v>
      </c>
      <c r="H317" s="7">
        <f>(3600/Table2[[#This Row],[CT]])*G317*24</f>
        <v>0</v>
      </c>
      <c r="I317" s="7">
        <f>Table2[[#This Row],[TARGET HARI]]/3</f>
        <v>0</v>
      </c>
      <c r="J317" s="6">
        <v>582</v>
      </c>
    </row>
    <row r="318" spans="1:10">
      <c r="A318" t="s">
        <v>722</v>
      </c>
      <c r="B318" t="s">
        <v>723</v>
      </c>
      <c r="C318" s="6" t="s">
        <v>449</v>
      </c>
      <c r="D318" s="6">
        <v>240</v>
      </c>
      <c r="E318" s="6">
        <v>25</v>
      </c>
      <c r="F318" s="6">
        <v>30</v>
      </c>
      <c r="H318" s="7">
        <f>(3600/Table2[[#This Row],[CT]])*G318*24</f>
        <v>0</v>
      </c>
      <c r="I318" s="7">
        <f>Table2[[#This Row],[TARGET HARI]]/3</f>
        <v>0</v>
      </c>
      <c r="J318" s="6">
        <v>1577</v>
      </c>
    </row>
    <row r="319" spans="1:10">
      <c r="A319" t="s">
        <v>724</v>
      </c>
      <c r="B319" t="s">
        <v>725</v>
      </c>
      <c r="C319" s="6" t="s">
        <v>449</v>
      </c>
      <c r="D319" s="6">
        <v>1566</v>
      </c>
      <c r="E319" s="6">
        <v>8.1999999999999993</v>
      </c>
      <c r="F319" s="6">
        <v>26</v>
      </c>
      <c r="G319" s="6">
        <v>8</v>
      </c>
      <c r="H319" s="7">
        <f>(3600/Table2[[#This Row],[CT]])*G319*24</f>
        <v>26584.615384615383</v>
      </c>
      <c r="I319" s="7">
        <f>Table2[[#This Row],[TARGET HARI]]/3</f>
        <v>8861.538461538461</v>
      </c>
      <c r="J319" s="6">
        <v>584</v>
      </c>
    </row>
    <row r="320" spans="1:10">
      <c r="A320" t="s">
        <v>726</v>
      </c>
      <c r="B320" t="s">
        <v>727</v>
      </c>
      <c r="C320" s="6" t="s">
        <v>449</v>
      </c>
      <c r="D320" s="6">
        <v>950</v>
      </c>
      <c r="E320" s="6">
        <v>6.3</v>
      </c>
      <c r="F320" s="6">
        <v>26</v>
      </c>
      <c r="H320" s="7">
        <f>(3600/Table2[[#This Row],[CT]])*G320*24</f>
        <v>0</v>
      </c>
      <c r="I320" s="7">
        <f>Table2[[#This Row],[TARGET HARI]]/3</f>
        <v>0</v>
      </c>
      <c r="J320" s="6">
        <v>520</v>
      </c>
    </row>
    <row r="321" spans="1:10">
      <c r="A321" t="s">
        <v>728</v>
      </c>
      <c r="B321" t="s">
        <v>729</v>
      </c>
      <c r="C321" s="6" t="s">
        <v>449</v>
      </c>
      <c r="D321" s="6">
        <v>950</v>
      </c>
      <c r="E321" s="6">
        <v>6.3</v>
      </c>
      <c r="F321" s="6">
        <v>26</v>
      </c>
      <c r="H321" s="7">
        <f>(3600/Table2[[#This Row],[CT]])*G321*24</f>
        <v>0</v>
      </c>
      <c r="I321" s="7">
        <f>Table2[[#This Row],[TARGET HARI]]/3</f>
        <v>0</v>
      </c>
      <c r="J321" s="6">
        <v>520</v>
      </c>
    </row>
    <row r="322" spans="1:10">
      <c r="A322" t="s">
        <v>730</v>
      </c>
      <c r="B322" t="s">
        <v>731</v>
      </c>
      <c r="C322" s="6" t="s">
        <v>449</v>
      </c>
      <c r="D322" s="6">
        <v>0</v>
      </c>
      <c r="E322" s="6">
        <v>4.7</v>
      </c>
      <c r="F322" s="6">
        <v>20</v>
      </c>
      <c r="G322" s="6">
        <v>8</v>
      </c>
      <c r="H322" s="7">
        <f>(3600/Table2[[#This Row],[CT]])*G322*24</f>
        <v>34560</v>
      </c>
      <c r="I322" s="7">
        <f>Table2[[#This Row],[TARGET HARI]]/3</f>
        <v>11520</v>
      </c>
      <c r="J322" s="6">
        <v>600</v>
      </c>
    </row>
    <row r="323" spans="1:10">
      <c r="A323" t="s">
        <v>732</v>
      </c>
      <c r="B323" t="s">
        <v>733</v>
      </c>
      <c r="C323" s="6" t="s">
        <v>449</v>
      </c>
      <c r="D323" s="6">
        <v>576</v>
      </c>
      <c r="E323" s="6">
        <v>6.3</v>
      </c>
      <c r="F323" s="6">
        <v>40</v>
      </c>
      <c r="H323" s="7">
        <f>(3600/Table2[[#This Row],[CT]])*G323*24</f>
        <v>0</v>
      </c>
      <c r="I323" s="7">
        <f>Table2[[#This Row],[TARGET HARI]]/3</f>
        <v>0</v>
      </c>
      <c r="J323" s="6">
        <v>507</v>
      </c>
    </row>
    <row r="324" spans="1:10">
      <c r="A324" t="s">
        <v>734</v>
      </c>
      <c r="B324" t="s">
        <v>735</v>
      </c>
      <c r="C324" s="6" t="s">
        <v>449</v>
      </c>
      <c r="D324" s="6">
        <v>0</v>
      </c>
      <c r="E324" s="6">
        <v>9.5</v>
      </c>
      <c r="F324" s="6">
        <v>25</v>
      </c>
      <c r="G324" s="6">
        <v>8</v>
      </c>
      <c r="H324" s="7">
        <f>(3600/Table2[[#This Row],[CT]])*G324*24</f>
        <v>27648</v>
      </c>
      <c r="I324" s="7">
        <f>Table2[[#This Row],[TARGET HARI]]/3</f>
        <v>9216</v>
      </c>
      <c r="J324" s="6">
        <v>457</v>
      </c>
    </row>
    <row r="325" spans="1:10">
      <c r="A325" t="s">
        <v>736</v>
      </c>
      <c r="B325" t="s">
        <v>737</v>
      </c>
      <c r="C325" s="6" t="s">
        <v>449</v>
      </c>
      <c r="D325" s="6">
        <v>1000</v>
      </c>
      <c r="E325" s="6">
        <v>6.2</v>
      </c>
      <c r="F325" s="6">
        <v>20</v>
      </c>
      <c r="G325" s="6">
        <v>16</v>
      </c>
      <c r="H325" s="7">
        <f>(3600/Table2[[#This Row],[CT]])*G325*24</f>
        <v>69120</v>
      </c>
      <c r="I325" s="7">
        <f>Table2[[#This Row],[TARGET HARI]]/3</f>
        <v>23040</v>
      </c>
      <c r="J325" s="6">
        <v>338</v>
      </c>
    </row>
    <row r="326" spans="1:10">
      <c r="A326" t="s">
        <v>738</v>
      </c>
      <c r="B326" t="s">
        <v>739</v>
      </c>
      <c r="C326" s="6" t="s">
        <v>449</v>
      </c>
      <c r="D326" s="6">
        <v>1512</v>
      </c>
      <c r="E326" s="6">
        <v>6.3</v>
      </c>
      <c r="F326" s="6">
        <v>30</v>
      </c>
      <c r="G326" s="6">
        <v>8</v>
      </c>
      <c r="H326" s="7">
        <f>(3600/Table2[[#This Row],[CT]])*G326*24</f>
        <v>23040</v>
      </c>
      <c r="I326" s="7">
        <f>Table2[[#This Row],[TARGET HARI]]/3</f>
        <v>7680</v>
      </c>
      <c r="J326" s="6">
        <v>514</v>
      </c>
    </row>
    <row r="327" spans="1:10">
      <c r="A327" t="s">
        <v>740</v>
      </c>
      <c r="B327" t="s">
        <v>741</v>
      </c>
      <c r="C327" s="6" t="s">
        <v>449</v>
      </c>
      <c r="D327" s="6">
        <v>700</v>
      </c>
      <c r="E327" s="6">
        <v>6.2</v>
      </c>
      <c r="F327" s="6">
        <v>20</v>
      </c>
      <c r="G327" s="6">
        <v>16</v>
      </c>
      <c r="H327" s="7">
        <f>(3600/Table2[[#This Row],[CT]])*G327*24</f>
        <v>69120</v>
      </c>
      <c r="I327" s="7">
        <f>Table2[[#This Row],[TARGET HARI]]/3</f>
        <v>23040</v>
      </c>
      <c r="J327" s="6">
        <v>338</v>
      </c>
    </row>
    <row r="328" spans="1:10">
      <c r="A328" t="s">
        <v>742</v>
      </c>
      <c r="B328" t="s">
        <v>743</v>
      </c>
      <c r="C328" s="6" t="s">
        <v>449</v>
      </c>
      <c r="D328" s="6">
        <v>0</v>
      </c>
      <c r="E328" s="6">
        <v>22</v>
      </c>
      <c r="F328" s="6">
        <v>20</v>
      </c>
      <c r="G328" s="6">
        <v>8</v>
      </c>
      <c r="H328" s="7">
        <f>(3600/Table2[[#This Row],[CT]])*G328*24</f>
        <v>34560</v>
      </c>
      <c r="I328" s="7">
        <f>Table2[[#This Row],[TARGET HARI]]/3</f>
        <v>11520</v>
      </c>
      <c r="J328" s="6">
        <v>1166</v>
      </c>
    </row>
    <row r="329" spans="1:10">
      <c r="A329" t="s">
        <v>744</v>
      </c>
      <c r="B329" t="s">
        <v>745</v>
      </c>
      <c r="C329" s="6" t="s">
        <v>449</v>
      </c>
      <c r="D329" s="6">
        <v>800</v>
      </c>
      <c r="E329" s="6">
        <v>4.05</v>
      </c>
      <c r="F329" s="6">
        <v>20</v>
      </c>
      <c r="G329" s="6">
        <v>13</v>
      </c>
      <c r="H329" s="7">
        <f>(3600/Table2[[#This Row],[CT]])*G329*24</f>
        <v>56160</v>
      </c>
      <c r="I329" s="7">
        <f>Table2[[#This Row],[TARGET HARI]]/3</f>
        <v>18720</v>
      </c>
      <c r="J329" s="6">
        <v>370</v>
      </c>
    </row>
    <row r="330" spans="1:10">
      <c r="A330" t="s">
        <v>746</v>
      </c>
      <c r="B330" t="s">
        <v>747</v>
      </c>
      <c r="C330" s="6" t="s">
        <v>449</v>
      </c>
      <c r="D330" s="6">
        <v>800</v>
      </c>
      <c r="E330" s="6">
        <v>4.05</v>
      </c>
      <c r="F330" s="6">
        <v>20</v>
      </c>
      <c r="G330" s="6">
        <v>13</v>
      </c>
      <c r="H330" s="7">
        <f>(3600/Table2[[#This Row],[CT]])*G330*24</f>
        <v>56160</v>
      </c>
      <c r="I330" s="7">
        <f>Table2[[#This Row],[TARGET HARI]]/3</f>
        <v>18720</v>
      </c>
      <c r="J330" s="6">
        <v>370</v>
      </c>
    </row>
    <row r="331" spans="1:10">
      <c r="A331" t="s">
        <v>748</v>
      </c>
      <c r="B331" t="s">
        <v>749</v>
      </c>
      <c r="C331" s="6" t="s">
        <v>449</v>
      </c>
      <c r="D331" s="6">
        <v>800</v>
      </c>
      <c r="E331" s="6">
        <v>4.05</v>
      </c>
      <c r="F331" s="6">
        <v>20</v>
      </c>
      <c r="G331" s="6">
        <v>13</v>
      </c>
      <c r="H331" s="7">
        <f>(3600/Table2[[#This Row],[CT]])*G331*24</f>
        <v>56160</v>
      </c>
      <c r="I331" s="7">
        <f>Table2[[#This Row],[TARGET HARI]]/3</f>
        <v>18720</v>
      </c>
      <c r="J331" s="6">
        <v>389</v>
      </c>
    </row>
    <row r="332" spans="1:10">
      <c r="A332" t="s">
        <v>750</v>
      </c>
      <c r="B332" t="s">
        <v>751</v>
      </c>
      <c r="C332" s="6" t="s">
        <v>449</v>
      </c>
      <c r="D332" s="6">
        <v>3200</v>
      </c>
      <c r="E332" s="6">
        <v>5.7</v>
      </c>
      <c r="F332" s="6">
        <v>20</v>
      </c>
      <c r="G332" s="6">
        <v>11</v>
      </c>
      <c r="H332" s="7">
        <f>(3600/Table2[[#This Row],[CT]])*G332*24</f>
        <v>47520</v>
      </c>
      <c r="I332" s="7">
        <f>Table2[[#This Row],[TARGET HARI]]/3</f>
        <v>15840</v>
      </c>
      <c r="J332" s="6">
        <v>443</v>
      </c>
    </row>
    <row r="333" spans="1:10">
      <c r="A333" t="s">
        <v>752</v>
      </c>
      <c r="B333" t="s">
        <v>753</v>
      </c>
      <c r="C333" s="6" t="s">
        <v>449</v>
      </c>
      <c r="D333" s="6">
        <v>1000</v>
      </c>
      <c r="E333" s="6">
        <v>6.2</v>
      </c>
      <c r="F333" s="6">
        <v>20</v>
      </c>
      <c r="G333" s="6">
        <v>8</v>
      </c>
      <c r="H333" s="7">
        <f>(3600/Table2[[#This Row],[CT]])*G333*24</f>
        <v>34560</v>
      </c>
      <c r="I333" s="7">
        <f>Table2[[#This Row],[TARGET HARI]]/3</f>
        <v>11520</v>
      </c>
      <c r="J333" s="6">
        <v>277</v>
      </c>
    </row>
    <row r="334" spans="1:10">
      <c r="A334" t="s">
        <v>754</v>
      </c>
      <c r="B334" t="s">
        <v>755</v>
      </c>
      <c r="C334" s="6" t="s">
        <v>449</v>
      </c>
      <c r="D334" s="6">
        <v>1000</v>
      </c>
      <c r="E334" s="6">
        <v>6.2</v>
      </c>
      <c r="F334" s="6">
        <v>22</v>
      </c>
      <c r="G334" s="6">
        <v>16</v>
      </c>
      <c r="H334" s="7">
        <f>(3600/Table2[[#This Row],[CT]])*G334*24</f>
        <v>62836.363636363632</v>
      </c>
      <c r="I334" s="7">
        <f>Table2[[#This Row],[TARGET HARI]]/3</f>
        <v>20945.454545454544</v>
      </c>
      <c r="J334" s="6">
        <v>338</v>
      </c>
    </row>
    <row r="335" spans="1:10">
      <c r="A335" t="s">
        <v>756</v>
      </c>
      <c r="B335" t="s">
        <v>757</v>
      </c>
      <c r="C335" s="6" t="s">
        <v>449</v>
      </c>
      <c r="D335" s="6">
        <v>1000</v>
      </c>
      <c r="E335" s="6">
        <v>6.2</v>
      </c>
      <c r="F335" s="6">
        <v>20</v>
      </c>
      <c r="G335" s="6">
        <v>16</v>
      </c>
      <c r="H335" s="7">
        <f>(3600/Table2[[#This Row],[CT]])*G335*24</f>
        <v>69120</v>
      </c>
      <c r="I335" s="7">
        <f>Table2[[#This Row],[TARGET HARI]]/3</f>
        <v>23040</v>
      </c>
      <c r="J335" s="6">
        <v>338</v>
      </c>
    </row>
    <row r="336" spans="1:10">
      <c r="A336" t="s">
        <v>758</v>
      </c>
      <c r="B336" t="s">
        <v>759</v>
      </c>
      <c r="C336" s="6" t="s">
        <v>449</v>
      </c>
      <c r="D336" s="6">
        <v>300</v>
      </c>
      <c r="E336" s="6">
        <v>14.5</v>
      </c>
      <c r="F336" s="6">
        <v>22</v>
      </c>
      <c r="G336" s="6">
        <v>2</v>
      </c>
      <c r="H336" s="7">
        <f>(3600/Table2[[#This Row],[CT]])*G336*24</f>
        <v>7854.545454545454</v>
      </c>
      <c r="I336" s="7">
        <f>Table2[[#This Row],[TARGET HARI]]/3</f>
        <v>2618.181818181818</v>
      </c>
      <c r="J336" s="6">
        <v>781</v>
      </c>
    </row>
    <row r="337" spans="1:10">
      <c r="A337" t="s">
        <v>760</v>
      </c>
      <c r="B337" t="s">
        <v>761</v>
      </c>
      <c r="C337" s="6" t="s">
        <v>449</v>
      </c>
      <c r="D337" s="6">
        <v>128</v>
      </c>
      <c r="E337" s="6">
        <v>15</v>
      </c>
      <c r="F337" s="6">
        <v>22</v>
      </c>
      <c r="G337" s="6">
        <v>4</v>
      </c>
      <c r="H337" s="7">
        <f>(3600/Table2[[#This Row],[CT]])*G337*24</f>
        <v>15709.090909090908</v>
      </c>
      <c r="I337" s="7">
        <f>Table2[[#This Row],[TARGET HARI]]/3</f>
        <v>5236.363636363636</v>
      </c>
      <c r="J337" s="6">
        <v>766</v>
      </c>
    </row>
    <row r="338" spans="1:10">
      <c r="A338" t="s">
        <v>762</v>
      </c>
      <c r="B338" t="s">
        <v>763</v>
      </c>
      <c r="C338" s="6" t="s">
        <v>449</v>
      </c>
      <c r="D338" s="6">
        <v>1000</v>
      </c>
      <c r="E338" s="6">
        <v>6.2</v>
      </c>
      <c r="F338" s="6">
        <v>20</v>
      </c>
      <c r="G338" s="6">
        <v>16</v>
      </c>
      <c r="H338" s="7">
        <f>(3600/Table2[[#This Row],[CT]])*G338*24</f>
        <v>69120</v>
      </c>
      <c r="I338" s="7">
        <f>Table2[[#This Row],[TARGET HARI]]/3</f>
        <v>23040</v>
      </c>
      <c r="J338" s="6">
        <v>338</v>
      </c>
    </row>
    <row r="339" spans="1:10">
      <c r="A339" t="s">
        <v>764</v>
      </c>
      <c r="B339" t="s">
        <v>765</v>
      </c>
      <c r="C339" s="6" t="s">
        <v>449</v>
      </c>
      <c r="D339" s="6">
        <v>1000</v>
      </c>
      <c r="E339" s="6">
        <v>6.2</v>
      </c>
      <c r="F339" s="6">
        <v>20</v>
      </c>
      <c r="G339" s="6">
        <v>8</v>
      </c>
      <c r="H339" s="7">
        <f>(3600/Table2[[#This Row],[CT]])*G339*24</f>
        <v>34560</v>
      </c>
      <c r="I339" s="7">
        <f>Table2[[#This Row],[TARGET HARI]]/3</f>
        <v>11520</v>
      </c>
      <c r="J339" s="6">
        <v>338</v>
      </c>
    </row>
    <row r="340" spans="1:10">
      <c r="A340" t="s">
        <v>766</v>
      </c>
      <c r="B340" t="s">
        <v>767</v>
      </c>
      <c r="C340" s="6" t="s">
        <v>449</v>
      </c>
      <c r="D340" s="6">
        <v>700</v>
      </c>
      <c r="E340" s="6">
        <v>6.2</v>
      </c>
      <c r="F340" s="6">
        <v>20</v>
      </c>
      <c r="G340" s="6">
        <v>8</v>
      </c>
      <c r="H340" s="7">
        <f>(3600/Table2[[#This Row],[CT]])*G340*24</f>
        <v>34560</v>
      </c>
      <c r="I340" s="7">
        <f>Table2[[#This Row],[TARGET HARI]]/3</f>
        <v>11520</v>
      </c>
      <c r="J340" s="6">
        <v>338</v>
      </c>
    </row>
    <row r="341" spans="1:10">
      <c r="A341" t="s">
        <v>768</v>
      </c>
      <c r="B341" t="s">
        <v>769</v>
      </c>
      <c r="C341" s="6" t="s">
        <v>449</v>
      </c>
      <c r="D341" s="6">
        <v>1000</v>
      </c>
      <c r="E341" s="6">
        <v>6.2</v>
      </c>
      <c r="F341" s="6">
        <v>20</v>
      </c>
      <c r="G341" s="6">
        <v>16</v>
      </c>
      <c r="H341" s="7">
        <f>(3600/Table2[[#This Row],[CT]])*G341*24</f>
        <v>69120</v>
      </c>
      <c r="I341" s="7">
        <f>Table2[[#This Row],[TARGET HARI]]/3</f>
        <v>23040</v>
      </c>
      <c r="J341" s="6">
        <v>338</v>
      </c>
    </row>
    <row r="342" spans="1:10">
      <c r="A342" t="s">
        <v>770</v>
      </c>
      <c r="B342" t="s">
        <v>771</v>
      </c>
      <c r="C342" s="6" t="s">
        <v>449</v>
      </c>
      <c r="D342" s="6">
        <v>560</v>
      </c>
      <c r="E342" s="6">
        <v>9.5</v>
      </c>
      <c r="F342" s="6">
        <v>25</v>
      </c>
      <c r="G342" s="6">
        <v>8</v>
      </c>
      <c r="H342" s="7">
        <f>(3600/Table2[[#This Row],[CT]])*G342*24</f>
        <v>27648</v>
      </c>
      <c r="I342" s="7">
        <f>Table2[[#This Row],[TARGET HARI]]/3</f>
        <v>9216</v>
      </c>
      <c r="J342" s="6">
        <v>457</v>
      </c>
    </row>
    <row r="343" spans="1:10">
      <c r="A343" t="s">
        <v>772</v>
      </c>
      <c r="B343" t="s">
        <v>773</v>
      </c>
      <c r="C343" s="6" t="s">
        <v>449</v>
      </c>
      <c r="D343" s="6">
        <v>253</v>
      </c>
      <c r="E343" s="6">
        <v>24</v>
      </c>
      <c r="F343" s="6">
        <v>25</v>
      </c>
      <c r="G343" s="6">
        <v>4</v>
      </c>
      <c r="H343" s="7">
        <f>(3600/Table2[[#This Row],[CT]])*G343*24</f>
        <v>13824</v>
      </c>
      <c r="I343" s="7">
        <f>Table2[[#This Row],[TARGET HARI]]/3</f>
        <v>4608</v>
      </c>
      <c r="J343" s="6">
        <v>1166</v>
      </c>
    </row>
    <row r="344" spans="1:10">
      <c r="A344" t="s">
        <v>774</v>
      </c>
      <c r="B344" t="s">
        <v>775</v>
      </c>
      <c r="C344" s="6" t="s">
        <v>449</v>
      </c>
      <c r="D344" s="6">
        <v>950</v>
      </c>
      <c r="E344" s="6">
        <v>6.3</v>
      </c>
      <c r="F344" s="6">
        <v>25</v>
      </c>
      <c r="G344" s="6">
        <v>6</v>
      </c>
      <c r="H344" s="7">
        <f>(3600/Table2[[#This Row],[CT]])*G344*24</f>
        <v>20736</v>
      </c>
      <c r="I344" s="7">
        <f>Table2[[#This Row],[TARGET HARI]]/3</f>
        <v>6912</v>
      </c>
      <c r="J344" s="6">
        <v>507</v>
      </c>
    </row>
    <row r="345" spans="1:10">
      <c r="A345" t="s">
        <v>776</v>
      </c>
      <c r="B345" t="s">
        <v>777</v>
      </c>
      <c r="C345" s="6" t="s">
        <v>449</v>
      </c>
      <c r="D345" s="6">
        <v>950</v>
      </c>
      <c r="E345" s="6">
        <v>6.3</v>
      </c>
      <c r="F345" s="6">
        <v>25</v>
      </c>
      <c r="H345" s="7">
        <f>(3600/Table2[[#This Row],[CT]])*G345*24</f>
        <v>0</v>
      </c>
      <c r="I345" s="7">
        <f>Table2[[#This Row],[TARGET HARI]]/3</f>
        <v>0</v>
      </c>
      <c r="J345" s="6">
        <v>520</v>
      </c>
    </row>
    <row r="346" spans="1:10">
      <c r="A346" t="s">
        <v>778</v>
      </c>
      <c r="B346" t="s">
        <v>779</v>
      </c>
      <c r="C346" s="6" t="s">
        <v>449</v>
      </c>
      <c r="D346" s="6">
        <v>950</v>
      </c>
      <c r="E346" s="6">
        <v>6.3</v>
      </c>
      <c r="F346" s="6">
        <v>25</v>
      </c>
      <c r="H346" s="7">
        <f>(3600/Table2[[#This Row],[CT]])*G346*24</f>
        <v>0</v>
      </c>
      <c r="I346" s="7">
        <f>Table2[[#This Row],[TARGET HARI]]/3</f>
        <v>0</v>
      </c>
      <c r="J346" s="6">
        <v>520</v>
      </c>
    </row>
    <row r="347" spans="1:10">
      <c r="A347" t="s">
        <v>780</v>
      </c>
      <c r="B347" t="s">
        <v>781</v>
      </c>
      <c r="C347" s="6" t="s">
        <v>449</v>
      </c>
      <c r="D347" s="6">
        <v>890</v>
      </c>
      <c r="E347" s="6">
        <v>11.5</v>
      </c>
      <c r="F347" s="6">
        <v>21</v>
      </c>
      <c r="G347" s="6">
        <v>6</v>
      </c>
      <c r="H347" s="7">
        <f>(3600/Table2[[#This Row],[CT]])*G347*24</f>
        <v>24685.714285714283</v>
      </c>
      <c r="I347" s="7">
        <f>Table2[[#This Row],[TARGET HARI]]/3</f>
        <v>8228.5714285714275</v>
      </c>
      <c r="J347" s="6">
        <v>520</v>
      </c>
    </row>
    <row r="348" spans="1:10">
      <c r="A348" t="s">
        <v>782</v>
      </c>
      <c r="B348" t="s">
        <v>783</v>
      </c>
      <c r="C348" s="6" t="s">
        <v>449</v>
      </c>
      <c r="D348" s="6">
        <v>890</v>
      </c>
      <c r="E348" s="6">
        <v>11.5</v>
      </c>
      <c r="F348" s="6">
        <v>21</v>
      </c>
      <c r="G348" s="6">
        <v>6</v>
      </c>
      <c r="H348" s="7">
        <f>(3600/Table2[[#This Row],[CT]])*G348*24</f>
        <v>24685.714285714283</v>
      </c>
      <c r="I348" s="7">
        <f>Table2[[#This Row],[TARGET HARI]]/3</f>
        <v>8228.5714285714275</v>
      </c>
      <c r="J348" s="6">
        <v>520</v>
      </c>
    </row>
    <row r="349" spans="1:10">
      <c r="A349" t="s">
        <v>784</v>
      </c>
      <c r="B349" t="s">
        <v>785</v>
      </c>
      <c r="C349" s="6" t="s">
        <v>449</v>
      </c>
      <c r="D349" s="6">
        <v>0</v>
      </c>
      <c r="E349" s="6">
        <v>9.5</v>
      </c>
      <c r="F349" s="6">
        <v>25</v>
      </c>
      <c r="G349" s="6">
        <v>8</v>
      </c>
      <c r="H349" s="7">
        <f>(3600/Table2[[#This Row],[CT]])*G349*24</f>
        <v>27648</v>
      </c>
      <c r="I349" s="7">
        <f>Table2[[#This Row],[TARGET HARI]]/3</f>
        <v>9216</v>
      </c>
      <c r="J349" s="6">
        <v>457</v>
      </c>
    </row>
    <row r="350" spans="1:10">
      <c r="A350" t="s">
        <v>786</v>
      </c>
      <c r="B350" t="s">
        <v>787</v>
      </c>
      <c r="C350" s="6" t="s">
        <v>449</v>
      </c>
      <c r="D350" s="6">
        <v>890</v>
      </c>
      <c r="E350" s="6">
        <v>11.5</v>
      </c>
      <c r="F350" s="6">
        <v>21</v>
      </c>
      <c r="G350" s="6">
        <v>6</v>
      </c>
      <c r="H350" s="7">
        <f>(3600/Table2[[#This Row],[CT]])*G350*24</f>
        <v>24685.714285714283</v>
      </c>
      <c r="I350" s="7">
        <f>Table2[[#This Row],[TARGET HARI]]/3</f>
        <v>8228.5714285714275</v>
      </c>
      <c r="J350" s="6">
        <v>520</v>
      </c>
    </row>
    <row r="351" spans="1:10">
      <c r="A351" t="s">
        <v>788</v>
      </c>
      <c r="B351" t="s">
        <v>789</v>
      </c>
      <c r="C351" s="6" t="s">
        <v>449</v>
      </c>
      <c r="D351" s="6">
        <v>890</v>
      </c>
      <c r="E351" s="6">
        <v>11.5</v>
      </c>
      <c r="F351" s="6">
        <v>21</v>
      </c>
      <c r="G351" s="6">
        <v>6</v>
      </c>
      <c r="H351" s="7">
        <f>(3600/Table2[[#This Row],[CT]])*G351*24</f>
        <v>24685.714285714283</v>
      </c>
      <c r="I351" s="7">
        <f>Table2[[#This Row],[TARGET HARI]]/3</f>
        <v>8228.5714285714275</v>
      </c>
      <c r="J351" s="6">
        <v>520</v>
      </c>
    </row>
    <row r="352" spans="1:10">
      <c r="A352" t="s">
        <v>790</v>
      </c>
      <c r="B352" t="s">
        <v>791</v>
      </c>
      <c r="C352" s="6" t="s">
        <v>449</v>
      </c>
      <c r="D352" s="6">
        <v>890</v>
      </c>
      <c r="E352" s="6">
        <v>11</v>
      </c>
      <c r="F352" s="6">
        <v>21</v>
      </c>
      <c r="G352" s="6">
        <v>6</v>
      </c>
      <c r="H352" s="7">
        <f>(3600/Table2[[#This Row],[CT]])*G352*24</f>
        <v>24685.714285714283</v>
      </c>
      <c r="I352" s="7">
        <f>Table2[[#This Row],[TARGET HARI]]/3</f>
        <v>8228.5714285714275</v>
      </c>
      <c r="J352" s="6">
        <v>520</v>
      </c>
    </row>
    <row r="353" spans="1:10">
      <c r="A353" t="s">
        <v>792</v>
      </c>
      <c r="B353" t="s">
        <v>793</v>
      </c>
      <c r="C353" s="6" t="s">
        <v>449</v>
      </c>
      <c r="D353" s="6">
        <v>950</v>
      </c>
      <c r="E353" s="6">
        <v>6.3</v>
      </c>
      <c r="F353" s="6">
        <v>25</v>
      </c>
      <c r="G353" s="6">
        <v>6</v>
      </c>
      <c r="H353" s="7">
        <f>(3600/Table2[[#This Row],[CT]])*G353*24</f>
        <v>20736</v>
      </c>
      <c r="I353" s="7">
        <f>Table2[[#This Row],[TARGET HARI]]/3</f>
        <v>6912</v>
      </c>
      <c r="J353" s="6">
        <v>520</v>
      </c>
    </row>
    <row r="354" spans="1:10">
      <c r="A354" t="s">
        <v>794</v>
      </c>
      <c r="B354" t="s">
        <v>795</v>
      </c>
      <c r="C354" s="6" t="s">
        <v>449</v>
      </c>
      <c r="D354" s="6">
        <v>300</v>
      </c>
      <c r="E354" s="6">
        <v>6.3</v>
      </c>
      <c r="F354" s="6">
        <v>22</v>
      </c>
      <c r="H354" s="7">
        <f>(3600/Table2[[#This Row],[CT]])*G354*24</f>
        <v>0</v>
      </c>
      <c r="I354" s="7">
        <f>Table2[[#This Row],[TARGET HARI]]/3</f>
        <v>0</v>
      </c>
      <c r="J354" s="6">
        <v>582</v>
      </c>
    </row>
    <row r="355" spans="1:10">
      <c r="A355" t="s">
        <v>796</v>
      </c>
      <c r="B355" t="s">
        <v>797</v>
      </c>
      <c r="C355" s="6" t="s">
        <v>449</v>
      </c>
      <c r="D355" s="6">
        <v>140</v>
      </c>
      <c r="E355" s="6">
        <v>6.3</v>
      </c>
      <c r="F355" s="6">
        <v>25</v>
      </c>
      <c r="G355" s="6">
        <v>8</v>
      </c>
      <c r="H355" s="7">
        <f>(3600/Table2[[#This Row],[CT]])*G355*24</f>
        <v>27648</v>
      </c>
      <c r="I355" s="7">
        <f>Table2[[#This Row],[TARGET HARI]]/3</f>
        <v>9216</v>
      </c>
      <c r="J355" s="6">
        <v>600</v>
      </c>
    </row>
    <row r="356" spans="1:10">
      <c r="A356" t="s">
        <v>798</v>
      </c>
      <c r="B356" t="s">
        <v>799</v>
      </c>
      <c r="C356" s="6" t="s">
        <v>449</v>
      </c>
      <c r="D356" s="6">
        <v>0</v>
      </c>
      <c r="E356" s="6">
        <v>9.5</v>
      </c>
      <c r="F356" s="6">
        <v>25</v>
      </c>
      <c r="G356" s="6">
        <v>8</v>
      </c>
      <c r="H356" s="7">
        <f>(3600/Table2[[#This Row],[CT]])*G356*24</f>
        <v>27648</v>
      </c>
      <c r="I356" s="7">
        <f>Table2[[#This Row],[TARGET HARI]]/3</f>
        <v>9216</v>
      </c>
      <c r="J356" s="6">
        <v>457</v>
      </c>
    </row>
    <row r="357" spans="1:10">
      <c r="A357" t="s">
        <v>800</v>
      </c>
      <c r="B357" t="s">
        <v>801</v>
      </c>
      <c r="C357" s="6" t="s">
        <v>449</v>
      </c>
      <c r="D357" s="6">
        <v>253</v>
      </c>
      <c r="E357" s="6">
        <v>6.3</v>
      </c>
      <c r="F357" s="6">
        <v>22</v>
      </c>
      <c r="H357" s="7">
        <f>(3600/Table2[[#This Row],[CT]])*G357*24</f>
        <v>0</v>
      </c>
      <c r="I357" s="7">
        <f>Table2[[#This Row],[TARGET HARI]]/3</f>
        <v>0</v>
      </c>
      <c r="J357" s="6">
        <v>600</v>
      </c>
    </row>
    <row r="358" spans="1:10">
      <c r="A358" t="s">
        <v>802</v>
      </c>
      <c r="B358" t="s">
        <v>803</v>
      </c>
      <c r="C358" s="6" t="s">
        <v>449</v>
      </c>
      <c r="D358" s="6">
        <v>500</v>
      </c>
      <c r="E358" s="6">
        <v>8</v>
      </c>
      <c r="F358" s="6">
        <v>25</v>
      </c>
      <c r="G358" s="6">
        <v>8</v>
      </c>
      <c r="H358" s="7">
        <f>(3600/Table2[[#This Row],[CT]])*G358*24</f>
        <v>27648</v>
      </c>
      <c r="I358" s="7">
        <f>Table2[[#This Row],[TARGET HARI]]/3</f>
        <v>9216</v>
      </c>
      <c r="J358" s="6">
        <v>640</v>
      </c>
    </row>
    <row r="359" spans="1:10">
      <c r="A359" t="s">
        <v>804</v>
      </c>
      <c r="B359" t="s">
        <v>805</v>
      </c>
      <c r="C359" s="6" t="s">
        <v>449</v>
      </c>
      <c r="D359" s="6">
        <v>300</v>
      </c>
      <c r="E359" s="6">
        <v>8</v>
      </c>
      <c r="F359" s="6">
        <v>25</v>
      </c>
      <c r="G359" s="6">
        <v>8</v>
      </c>
      <c r="H359" s="7">
        <f>(3600/Table2[[#This Row],[CT]])*G359*24</f>
        <v>27648</v>
      </c>
      <c r="I359" s="7">
        <f>Table2[[#This Row],[TARGET HARI]]/3</f>
        <v>9216</v>
      </c>
      <c r="J359" s="6">
        <v>1250</v>
      </c>
    </row>
    <row r="360" spans="1:10">
      <c r="A360" t="s">
        <v>806</v>
      </c>
      <c r="B360" t="s">
        <v>807</v>
      </c>
      <c r="C360" s="6" t="s">
        <v>449</v>
      </c>
      <c r="D360" s="6">
        <v>890</v>
      </c>
      <c r="E360" s="6">
        <v>11.5</v>
      </c>
      <c r="F360" s="6">
        <v>22</v>
      </c>
      <c r="G360" s="6">
        <v>6</v>
      </c>
      <c r="H360" s="7">
        <f>(3600/Table2[[#This Row],[CT]])*G360*24</f>
        <v>23563.63636363636</v>
      </c>
      <c r="I360" s="7">
        <f>Table2[[#This Row],[TARGET HARI]]/3</f>
        <v>7854.5454545454531</v>
      </c>
      <c r="J360" s="6">
        <v>520</v>
      </c>
    </row>
    <row r="361" spans="1:10">
      <c r="A361" t="s">
        <v>808</v>
      </c>
      <c r="B361" t="s">
        <v>809</v>
      </c>
      <c r="C361" s="6" t="s">
        <v>449</v>
      </c>
      <c r="D361" s="6">
        <v>890</v>
      </c>
      <c r="E361" s="6">
        <v>11.5</v>
      </c>
      <c r="F361" s="6">
        <v>21</v>
      </c>
      <c r="G361" s="6">
        <v>6</v>
      </c>
      <c r="H361" s="7">
        <f>(3600/Table2[[#This Row],[CT]])*G361*24</f>
        <v>24685.714285714283</v>
      </c>
      <c r="I361" s="7">
        <f>Table2[[#This Row],[TARGET HARI]]/3</f>
        <v>8228.5714285714275</v>
      </c>
      <c r="J361" s="6"/>
    </row>
    <row r="362" spans="1:10">
      <c r="A362" t="s">
        <v>810</v>
      </c>
      <c r="B362" t="s">
        <v>811</v>
      </c>
      <c r="C362" s="6" t="s">
        <v>449</v>
      </c>
      <c r="D362" s="6">
        <v>128</v>
      </c>
      <c r="E362" s="6">
        <v>14.5</v>
      </c>
      <c r="F362" s="6">
        <v>22</v>
      </c>
      <c r="G362" s="6">
        <v>4</v>
      </c>
      <c r="H362" s="7">
        <f>(3600/Table2[[#This Row],[CT]])*G362*24</f>
        <v>15709.090909090908</v>
      </c>
      <c r="I362" s="7">
        <f>Table2[[#This Row],[TARGET HARI]]/3</f>
        <v>5236.363636363636</v>
      </c>
      <c r="J362" s="6">
        <v>781</v>
      </c>
    </row>
    <row r="363" spans="1:10">
      <c r="A363" t="s">
        <v>812</v>
      </c>
      <c r="B363" t="s">
        <v>813</v>
      </c>
      <c r="C363" s="6" t="s">
        <v>449</v>
      </c>
      <c r="D363" s="6">
        <v>1000</v>
      </c>
      <c r="E363" s="6">
        <v>6.2</v>
      </c>
      <c r="F363" s="6">
        <v>20</v>
      </c>
      <c r="G363" s="6">
        <v>16</v>
      </c>
      <c r="H363" s="7">
        <f>(3600/Table2[[#This Row],[CT]])*G363*24</f>
        <v>69120</v>
      </c>
      <c r="I363" s="7">
        <f>Table2[[#This Row],[TARGET HARI]]/3</f>
        <v>23040</v>
      </c>
      <c r="J363" s="6">
        <v>338</v>
      </c>
    </row>
    <row r="364" spans="1:10">
      <c r="A364" t="s">
        <v>814</v>
      </c>
      <c r="B364" t="s">
        <v>815</v>
      </c>
      <c r="C364" s="6" t="s">
        <v>816</v>
      </c>
      <c r="D364" s="6">
        <v>350</v>
      </c>
      <c r="E364" s="6">
        <v>16.5</v>
      </c>
      <c r="F364" s="6">
        <v>22</v>
      </c>
      <c r="G364" s="6">
        <v>11</v>
      </c>
      <c r="H364" s="7">
        <f>(3600/Table2[[#This Row],[CT]])*G364*24</f>
        <v>43200</v>
      </c>
      <c r="I364" s="7">
        <f>Table2[[#This Row],[TARGET HARI]]/3</f>
        <v>14400</v>
      </c>
      <c r="J364" s="6">
        <v>901</v>
      </c>
    </row>
    <row r="365" spans="1:10">
      <c r="A365" t="s">
        <v>817</v>
      </c>
      <c r="B365" t="s">
        <v>818</v>
      </c>
      <c r="C365" s="6" t="s">
        <v>819</v>
      </c>
      <c r="D365" s="6">
        <v>350</v>
      </c>
      <c r="E365" s="6">
        <v>16.5</v>
      </c>
      <c r="F365" s="6">
        <v>20</v>
      </c>
      <c r="G365" s="6">
        <v>16</v>
      </c>
      <c r="H365" s="7">
        <f>(3600/Table2[[#This Row],[CT]])*G365*24</f>
        <v>69120</v>
      </c>
      <c r="I365" s="7">
        <f>Table2[[#This Row],[TARGET HARI]]/3</f>
        <v>23040</v>
      </c>
      <c r="J365" s="6">
        <v>1390</v>
      </c>
    </row>
    <row r="366" spans="1:10">
      <c r="A366" t="s">
        <v>820</v>
      </c>
      <c r="B366" t="s">
        <v>821</v>
      </c>
      <c r="C366" s="6" t="s">
        <v>816</v>
      </c>
      <c r="D366" s="6">
        <v>350</v>
      </c>
      <c r="E366" s="6">
        <v>16.5</v>
      </c>
      <c r="F366" s="6">
        <v>20</v>
      </c>
      <c r="G366" s="6">
        <v>11</v>
      </c>
      <c r="H366" s="7">
        <f>(3600/Table2[[#This Row],[CT]])*G366*24</f>
        <v>47520</v>
      </c>
      <c r="I366" s="7">
        <f>Table2[[#This Row],[TARGET HARI]]/3</f>
        <v>15840</v>
      </c>
      <c r="J366" s="6">
        <v>901</v>
      </c>
    </row>
    <row r="367" spans="1:10">
      <c r="A367" t="s">
        <v>822</v>
      </c>
      <c r="B367" t="s">
        <v>823</v>
      </c>
      <c r="C367" s="6" t="s">
        <v>824</v>
      </c>
      <c r="D367" s="6">
        <v>350</v>
      </c>
      <c r="E367" s="6">
        <v>16.5</v>
      </c>
      <c r="F367" s="6">
        <v>20</v>
      </c>
      <c r="G367" s="6">
        <v>11</v>
      </c>
      <c r="H367" s="7">
        <f>(3600/Table2[[#This Row],[CT]])*G367*24</f>
        <v>47520</v>
      </c>
      <c r="I367" s="7">
        <f>Table2[[#This Row],[TARGET HARI]]/3</f>
        <v>15840</v>
      </c>
      <c r="J367" s="6">
        <v>901</v>
      </c>
    </row>
    <row r="368" spans="1:10">
      <c r="A368" t="s">
        <v>825</v>
      </c>
      <c r="B368" t="s">
        <v>826</v>
      </c>
      <c r="C368" s="6" t="s">
        <v>827</v>
      </c>
      <c r="D368" s="6">
        <v>350</v>
      </c>
      <c r="E368" s="6">
        <v>16.5</v>
      </c>
      <c r="F368" s="6">
        <v>22</v>
      </c>
      <c r="G368" s="6">
        <v>11</v>
      </c>
      <c r="H368" s="7">
        <f>(3600/Table2[[#This Row],[CT]])*G368*24</f>
        <v>43200</v>
      </c>
      <c r="I368" s="7">
        <f>Table2[[#This Row],[TARGET HARI]]/3</f>
        <v>14400</v>
      </c>
      <c r="J368" s="6">
        <v>1350</v>
      </c>
    </row>
    <row r="369" spans="1:10">
      <c r="A369" t="s">
        <v>828</v>
      </c>
      <c r="B369" t="s">
        <v>829</v>
      </c>
      <c r="C369" s="6" t="s">
        <v>827</v>
      </c>
      <c r="D369" s="6">
        <v>350</v>
      </c>
      <c r="E369" s="6">
        <v>16.5</v>
      </c>
      <c r="F369" s="6">
        <v>20</v>
      </c>
      <c r="G369" s="6">
        <v>11</v>
      </c>
      <c r="H369" s="7">
        <f>(3600/Table2[[#This Row],[CT]])*G369*24</f>
        <v>47520</v>
      </c>
      <c r="I369" s="7">
        <f>Table2[[#This Row],[TARGET HARI]]/3</f>
        <v>15840</v>
      </c>
      <c r="J369" s="6">
        <v>901</v>
      </c>
    </row>
    <row r="370" spans="1:10">
      <c r="A370" t="s">
        <v>830</v>
      </c>
      <c r="B370" t="s">
        <v>831</v>
      </c>
      <c r="C370" s="6" t="s">
        <v>816</v>
      </c>
      <c r="D370" s="6">
        <v>350</v>
      </c>
      <c r="E370" s="6">
        <v>16.5</v>
      </c>
      <c r="F370" s="6">
        <v>25</v>
      </c>
      <c r="G370" s="6">
        <v>11</v>
      </c>
      <c r="H370" s="7">
        <f>(3600/Table2[[#This Row],[CT]])*G370*24</f>
        <v>38016</v>
      </c>
      <c r="I370" s="7">
        <f>Table2[[#This Row],[TARGET HARI]]/3</f>
        <v>12672</v>
      </c>
      <c r="J370" s="6">
        <v>901</v>
      </c>
    </row>
    <row r="371" spans="1:10">
      <c r="A371" t="s">
        <v>832</v>
      </c>
      <c r="B371" t="s">
        <v>833</v>
      </c>
      <c r="C371" s="6" t="s">
        <v>472</v>
      </c>
      <c r="D371" s="7">
        <v>360</v>
      </c>
      <c r="E371" s="6">
        <v>30.4</v>
      </c>
      <c r="F371" s="6">
        <v>40</v>
      </c>
      <c r="G371" s="6">
        <v>2</v>
      </c>
      <c r="H371" s="7">
        <f>(3600/Table2[[#This Row],[CT]])*G371*24</f>
        <v>4320</v>
      </c>
      <c r="I371" s="7">
        <f>Table2[[#This Row],[TARGET HARI]]/3</f>
        <v>1440</v>
      </c>
      <c r="J371" s="6">
        <v>615</v>
      </c>
    </row>
    <row r="372" spans="1:10">
      <c r="A372" t="s">
        <v>834</v>
      </c>
      <c r="B372" t="s">
        <v>579</v>
      </c>
      <c r="C372" s="6" t="s">
        <v>449</v>
      </c>
      <c r="D372" s="6">
        <v>560</v>
      </c>
      <c r="E372" s="6">
        <v>9.5</v>
      </c>
      <c r="F372" s="6">
        <v>25</v>
      </c>
      <c r="G372" s="6">
        <v>8</v>
      </c>
      <c r="H372" s="7">
        <f>(3600/Table2[[#This Row],[CT]])*G372*24</f>
        <v>27648</v>
      </c>
      <c r="I372" s="7">
        <f>Table2[[#This Row],[TARGET HARI]]/3</f>
        <v>9216</v>
      </c>
      <c r="J372" s="6">
        <v>500</v>
      </c>
    </row>
    <row r="373" spans="1:10">
      <c r="A373" t="s">
        <v>835</v>
      </c>
      <c r="B373" t="s">
        <v>836</v>
      </c>
      <c r="C373" s="6" t="s">
        <v>449</v>
      </c>
      <c r="H373" s="7" t="e">
        <f>(3600/Table2[[#This Row],[CT]])*G373*24</f>
        <v>#DIV/0!</v>
      </c>
      <c r="I373" s="7" t="e">
        <f>Table2[[#This Row],[TARGET HARI]]/3</f>
        <v>#DIV/0!</v>
      </c>
      <c r="J373" s="6"/>
    </row>
    <row r="374" spans="1:10">
      <c r="A374" t="s">
        <v>837</v>
      </c>
      <c r="B374" t="s">
        <v>838</v>
      </c>
      <c r="H374" s="7" t="e">
        <f>(3600/Table2[[#This Row],[CT]])*G374*24</f>
        <v>#DIV/0!</v>
      </c>
      <c r="I374" s="7" t="e">
        <f>Table2[[#This Row],[TARGET HARI]]/3</f>
        <v>#DIV/0!</v>
      </c>
      <c r="J374" s="6"/>
    </row>
    <row r="375" spans="1:10">
      <c r="A375" t="s">
        <v>839</v>
      </c>
      <c r="B375" t="s">
        <v>211</v>
      </c>
      <c r="E375" s="6">
        <v>21.4</v>
      </c>
      <c r="F375" s="6">
        <v>25</v>
      </c>
      <c r="G375" s="6">
        <v>16</v>
      </c>
      <c r="H375" s="7">
        <f>(3600/Table2[[#This Row],[CT]])*G375*24</f>
        <v>55296</v>
      </c>
      <c r="I375" s="7">
        <f>Table2[[#This Row],[TARGET HARI]]/3</f>
        <v>18432</v>
      </c>
      <c r="J375" s="6"/>
    </row>
    <row r="376" spans="1:10">
      <c r="A376" t="s">
        <v>840</v>
      </c>
      <c r="B376" t="s">
        <v>841</v>
      </c>
      <c r="E376" s="6">
        <v>6.8</v>
      </c>
      <c r="F376" s="6">
        <v>25</v>
      </c>
      <c r="G376" s="6">
        <v>4</v>
      </c>
      <c r="H376" s="7">
        <f>(3600/Table2[[#This Row],[CT]])*G376*24</f>
        <v>13824</v>
      </c>
      <c r="I376" s="7">
        <f>Table2[[#This Row],[TARGET HARI]]/3</f>
        <v>4608</v>
      </c>
      <c r="J376" s="6">
        <v>693</v>
      </c>
    </row>
    <row r="377" spans="1:10">
      <c r="A377" t="s">
        <v>842</v>
      </c>
      <c r="B377" t="s">
        <v>843</v>
      </c>
      <c r="C377" s="6" t="s">
        <v>449</v>
      </c>
      <c r="E377" s="6">
        <v>6.8</v>
      </c>
      <c r="F377" s="6">
        <v>25</v>
      </c>
      <c r="G377" s="6">
        <v>4</v>
      </c>
      <c r="H377" s="7">
        <f>(3600/Table2[[#This Row],[CT]])*G377*24</f>
        <v>13824</v>
      </c>
      <c r="I377" s="7">
        <f>Table2[[#This Row],[TARGET HARI]]/3</f>
        <v>4608</v>
      </c>
      <c r="J377" s="6">
        <v>693</v>
      </c>
    </row>
    <row r="378" spans="1:10">
      <c r="A378" t="s">
        <v>844</v>
      </c>
      <c r="B378" t="s">
        <v>845</v>
      </c>
      <c r="E378" s="6">
        <v>13</v>
      </c>
      <c r="F378" s="6">
        <v>24</v>
      </c>
      <c r="J378" s="6"/>
    </row>
    <row r="379" spans="1:10">
      <c r="A379" t="s">
        <v>846</v>
      </c>
      <c r="B379" t="s">
        <v>847</v>
      </c>
      <c r="C379" s="6" t="s">
        <v>449</v>
      </c>
      <c r="E379" s="6">
        <v>4.5999999999999996</v>
      </c>
      <c r="F379" s="6">
        <v>20</v>
      </c>
      <c r="G379" s="6">
        <v>4</v>
      </c>
      <c r="J379" s="6">
        <v>218</v>
      </c>
    </row>
    <row r="380" spans="1:10">
      <c r="A380" t="s">
        <v>848</v>
      </c>
      <c r="B380" t="s">
        <v>849</v>
      </c>
      <c r="E380" s="6">
        <v>4.5999999999999996</v>
      </c>
      <c r="F380" s="6">
        <v>20</v>
      </c>
      <c r="G380" s="6">
        <v>4</v>
      </c>
      <c r="J380" s="6">
        <v>218</v>
      </c>
    </row>
    <row r="381" spans="1:10">
      <c r="A381" t="s">
        <v>850</v>
      </c>
      <c r="B381" t="s">
        <v>851</v>
      </c>
      <c r="C381" s="6" t="s">
        <v>852</v>
      </c>
      <c r="D381" s="7">
        <v>350</v>
      </c>
      <c r="E381" s="6">
        <v>16.5</v>
      </c>
      <c r="F381" s="6">
        <v>22</v>
      </c>
      <c r="G381" s="6">
        <v>11</v>
      </c>
      <c r="J381" s="6">
        <v>901</v>
      </c>
    </row>
    <row r="382" spans="1:10">
      <c r="A382" t="s">
        <v>853</v>
      </c>
      <c r="B382" t="s">
        <v>854</v>
      </c>
      <c r="E382" s="6">
        <v>13</v>
      </c>
      <c r="F382" s="6">
        <v>24</v>
      </c>
      <c r="G382" s="6">
        <v>16</v>
      </c>
      <c r="J382" s="6"/>
    </row>
    <row r="383" spans="1:10">
      <c r="A383" t="s">
        <v>855</v>
      </c>
      <c r="B383" t="s">
        <v>856</v>
      </c>
      <c r="C383" s="6" t="s">
        <v>19</v>
      </c>
      <c r="E383" s="6">
        <v>23.5</v>
      </c>
      <c r="F383" s="6">
        <v>30</v>
      </c>
      <c r="G383" s="6">
        <v>16</v>
      </c>
      <c r="J383" s="6"/>
    </row>
    <row r="384" spans="1:10">
      <c r="A384" t="s">
        <v>857</v>
      </c>
      <c r="B384" t="s">
        <v>858</v>
      </c>
      <c r="E384" s="6">
        <v>2.1</v>
      </c>
      <c r="F384" s="6">
        <v>18</v>
      </c>
      <c r="G384" s="6">
        <v>8</v>
      </c>
      <c r="J384" s="6">
        <v>148</v>
      </c>
    </row>
    <row r="385" spans="1:10">
      <c r="A385" t="s">
        <v>859</v>
      </c>
      <c r="B385" t="s">
        <v>860</v>
      </c>
      <c r="C385" s="6" t="s">
        <v>449</v>
      </c>
      <c r="E385" s="6">
        <v>2.1</v>
      </c>
      <c r="F385" s="6">
        <v>18</v>
      </c>
      <c r="G385" s="6">
        <v>8</v>
      </c>
      <c r="J385" s="6">
        <v>148</v>
      </c>
    </row>
    <row r="386" spans="1:10">
      <c r="A386" t="s">
        <v>861</v>
      </c>
      <c r="B386" t="s">
        <v>862</v>
      </c>
      <c r="E386" s="6">
        <v>0.5</v>
      </c>
      <c r="F386" s="6">
        <v>18</v>
      </c>
      <c r="G386" s="6">
        <v>16</v>
      </c>
      <c r="J386" s="6">
        <v>45</v>
      </c>
    </row>
    <row r="387" spans="1:10">
      <c r="A387" t="s">
        <v>863</v>
      </c>
      <c r="B387" t="s">
        <v>864</v>
      </c>
      <c r="E387" s="6">
        <v>26</v>
      </c>
      <c r="F387" s="6">
        <v>35</v>
      </c>
      <c r="G387" s="6">
        <v>16</v>
      </c>
      <c r="J387" s="6"/>
    </row>
    <row r="388" spans="1:10">
      <c r="A388" t="s">
        <v>865</v>
      </c>
      <c r="B388" t="s">
        <v>153</v>
      </c>
      <c r="C388" s="6" t="s">
        <v>19</v>
      </c>
      <c r="D388" s="7">
        <v>1000</v>
      </c>
      <c r="E388" s="6">
        <v>15.5</v>
      </c>
      <c r="F388" s="6">
        <v>25</v>
      </c>
      <c r="G388" s="6">
        <v>16</v>
      </c>
      <c r="H388" s="6">
        <v>55296</v>
      </c>
      <c r="I388" s="6">
        <v>18432</v>
      </c>
      <c r="J388" s="6"/>
    </row>
    <row r="389" spans="1:10">
      <c r="A389" t="s">
        <v>866</v>
      </c>
      <c r="B389" t="s">
        <v>867</v>
      </c>
      <c r="E389" s="6">
        <v>31</v>
      </c>
      <c r="F389" s="6">
        <v>22</v>
      </c>
      <c r="G389" s="6">
        <v>8</v>
      </c>
      <c r="J389" s="6"/>
    </row>
    <row r="390" spans="1:10">
      <c r="A390" t="s">
        <v>868</v>
      </c>
      <c r="B390" t="s">
        <v>869</v>
      </c>
      <c r="E390" s="6">
        <v>9.1999999999999993</v>
      </c>
      <c r="F390" s="6">
        <v>30</v>
      </c>
      <c r="G390" s="6">
        <v>8</v>
      </c>
      <c r="J390" s="6"/>
    </row>
    <row r="391" spans="1:10">
      <c r="A391" t="s">
        <v>870</v>
      </c>
      <c r="B391" t="s">
        <v>871</v>
      </c>
      <c r="D391" s="7">
        <v>640</v>
      </c>
      <c r="E391" s="6">
        <v>35</v>
      </c>
      <c r="F391" s="6">
        <v>30</v>
      </c>
      <c r="G391" s="6">
        <v>8</v>
      </c>
      <c r="J391" s="6">
        <v>1175</v>
      </c>
    </row>
    <row r="392" spans="1:10">
      <c r="A392" t="s">
        <v>872</v>
      </c>
      <c r="B392" t="s">
        <v>873</v>
      </c>
      <c r="E392" s="6">
        <v>18.2</v>
      </c>
      <c r="F392" s="6">
        <v>20</v>
      </c>
      <c r="G392" s="6">
        <v>2</v>
      </c>
      <c r="J392" s="6">
        <v>781</v>
      </c>
    </row>
    <row r="393" spans="1:10">
      <c r="A393" t="s">
        <v>874</v>
      </c>
      <c r="B393" t="s">
        <v>875</v>
      </c>
      <c r="D393" s="7">
        <v>1200</v>
      </c>
      <c r="E393" s="6">
        <v>13</v>
      </c>
      <c r="F393" s="6">
        <v>28</v>
      </c>
      <c r="G393" s="6">
        <v>16</v>
      </c>
      <c r="J393" s="6"/>
    </row>
    <row r="394" spans="1:10">
      <c r="A394" t="s">
        <v>876</v>
      </c>
      <c r="B394" t="s">
        <v>877</v>
      </c>
      <c r="D394" s="7">
        <v>300</v>
      </c>
      <c r="E394" s="6">
        <v>18.2</v>
      </c>
      <c r="F394" s="6">
        <v>22</v>
      </c>
      <c r="G394" s="6">
        <v>2</v>
      </c>
      <c r="J394" s="6"/>
    </row>
    <row r="395" spans="1:10">
      <c r="A395" t="s">
        <v>878</v>
      </c>
      <c r="B395" t="s">
        <v>879</v>
      </c>
      <c r="E395" s="6">
        <v>50.5</v>
      </c>
      <c r="F395" s="6">
        <v>45</v>
      </c>
      <c r="G395" s="6">
        <v>8</v>
      </c>
      <c r="J395" s="6"/>
    </row>
    <row r="396" spans="1:10">
      <c r="A396" t="s">
        <v>880</v>
      </c>
      <c r="B396" t="s">
        <v>881</v>
      </c>
      <c r="E396" s="6">
        <v>20</v>
      </c>
      <c r="F396" s="6">
        <v>30</v>
      </c>
      <c r="G396" s="6">
        <v>16</v>
      </c>
      <c r="J396" s="6"/>
    </row>
    <row r="397" spans="1:10">
      <c r="A397" t="s">
        <v>882</v>
      </c>
      <c r="B397" t="s">
        <v>883</v>
      </c>
      <c r="E397" s="6">
        <v>23.5</v>
      </c>
      <c r="F397" s="6">
        <v>30</v>
      </c>
      <c r="G397" s="6">
        <v>16</v>
      </c>
      <c r="J397" s="6"/>
    </row>
    <row r="398" spans="1:10">
      <c r="A398" t="s">
        <v>884</v>
      </c>
      <c r="B398" t="s">
        <v>885</v>
      </c>
      <c r="C398" s="6" t="s">
        <v>886</v>
      </c>
      <c r="D398" s="7">
        <v>1248</v>
      </c>
      <c r="E398" s="6">
        <v>2.5</v>
      </c>
      <c r="F398" s="6">
        <v>30</v>
      </c>
      <c r="G398" s="6">
        <v>8</v>
      </c>
      <c r="H398" s="6">
        <v>23040</v>
      </c>
      <c r="I398" s="6">
        <v>7680</v>
      </c>
      <c r="J398" s="6">
        <v>95</v>
      </c>
    </row>
    <row r="399" spans="1:10">
      <c r="A399" t="s">
        <v>887</v>
      </c>
      <c r="B399" t="s">
        <v>888</v>
      </c>
      <c r="E399" s="6">
        <v>6.8</v>
      </c>
      <c r="F399" s="6">
        <v>25</v>
      </c>
      <c r="G399" s="6">
        <v>4</v>
      </c>
      <c r="J399" s="6"/>
    </row>
    <row r="400" spans="1:10">
      <c r="A400" t="s">
        <v>889</v>
      </c>
      <c r="B400" t="s">
        <v>890</v>
      </c>
      <c r="E400" s="6">
        <v>4.5999999999999996</v>
      </c>
      <c r="F400" s="6">
        <v>18</v>
      </c>
      <c r="G400" s="6">
        <v>4</v>
      </c>
      <c r="J400" s="6">
        <v>57</v>
      </c>
    </row>
    <row r="401" spans="1:10">
      <c r="A401" t="s">
        <v>891</v>
      </c>
      <c r="B401" t="s">
        <v>892</v>
      </c>
      <c r="E401" s="6">
        <v>13</v>
      </c>
      <c r="F401" s="6">
        <v>24</v>
      </c>
      <c r="G401" s="6">
        <v>16</v>
      </c>
      <c r="J401" s="6"/>
    </row>
    <row r="402" spans="1:10">
      <c r="A402" t="s">
        <v>893</v>
      </c>
      <c r="B402" t="s">
        <v>894</v>
      </c>
      <c r="E402" s="6">
        <v>31</v>
      </c>
      <c r="F402" s="6">
        <v>22</v>
      </c>
      <c r="G402" s="6">
        <v>8</v>
      </c>
      <c r="J402" s="6"/>
    </row>
    <row r="403" spans="1:10">
      <c r="A403" t="s">
        <v>895</v>
      </c>
      <c r="B403" t="s">
        <v>896</v>
      </c>
      <c r="E403" s="6">
        <v>17</v>
      </c>
      <c r="F403" s="6">
        <v>28</v>
      </c>
      <c r="G403" s="6">
        <v>16</v>
      </c>
      <c r="J403" s="6"/>
    </row>
  </sheetData>
  <conditionalFormatting sqref="A501:B1048576 A1:B403">
    <cfRule type="duplicateValues" dxfId="45" priority="1"/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24EA-1627-4388-A36D-2DD0714ACD67}">
  <dimension ref="A1:P229"/>
  <sheetViews>
    <sheetView tabSelected="1" zoomScale="85" zoomScaleNormal="85" workbookViewId="0">
      <pane ySplit="1" topLeftCell="A194" activePane="bottomLeft" state="frozen"/>
      <selection pane="bottomLeft" activeCell="B240" sqref="B240"/>
    </sheetView>
  </sheetViews>
  <sheetFormatPr defaultRowHeight="14.25"/>
  <cols>
    <col min="1" max="1" width="11.375" bestFit="1" customWidth="1"/>
    <col min="2" max="2" width="40.75" customWidth="1"/>
    <col min="3" max="3" width="9.75" style="18" customWidth="1"/>
    <col min="4" max="4" width="10.875" style="31" customWidth="1"/>
    <col min="5" max="5" width="9.25" style="18" customWidth="1"/>
    <col min="6" max="6" width="6.75" style="18" customWidth="1"/>
    <col min="7" max="7" width="8.125" style="18" customWidth="1"/>
    <col min="8" max="9" width="12" style="31" customWidth="1"/>
    <col min="14" max="14" width="11.375" bestFit="1" customWidth="1"/>
    <col min="15" max="15" width="10.875" bestFit="1" customWidth="1"/>
    <col min="16" max="16" width="16" bestFit="1" customWidth="1"/>
  </cols>
  <sheetData>
    <row r="1" spans="1:16" s="1" customFormat="1" ht="38.25" customHeight="1">
      <c r="A1" s="20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1" t="s">
        <v>8</v>
      </c>
      <c r="J1" s="20" t="s">
        <v>9</v>
      </c>
      <c r="L1" s="22" t="s">
        <v>10</v>
      </c>
      <c r="M1" s="11" t="s">
        <v>11</v>
      </c>
      <c r="N1" s="11" t="s">
        <v>12</v>
      </c>
      <c r="O1" s="11" t="s">
        <v>13</v>
      </c>
      <c r="P1" s="23" t="s">
        <v>14</v>
      </c>
    </row>
    <row r="2" spans="1:16" ht="15" hidden="1">
      <c r="A2" s="24" t="s">
        <v>897</v>
      </c>
      <c r="B2" s="24" t="s">
        <v>898</v>
      </c>
      <c r="C2" s="25" t="s">
        <v>899</v>
      </c>
      <c r="D2" s="26">
        <v>96</v>
      </c>
      <c r="E2" s="25">
        <v>46</v>
      </c>
      <c r="F2" s="25">
        <v>12</v>
      </c>
      <c r="G2" s="25">
        <v>2</v>
      </c>
      <c r="H2" s="26">
        <f>(3600/Table22[[#This Row],[CT]])*(Table22[[#This Row],[CAV]])*24</f>
        <v>14400</v>
      </c>
      <c r="I2" s="26">
        <f t="shared" ref="I2:I25" si="0">H2/3</f>
        <v>4800</v>
      </c>
      <c r="J2" s="27">
        <v>2093</v>
      </c>
      <c r="L2" s="13" t="s">
        <v>20</v>
      </c>
      <c r="M2" s="8">
        <v>220</v>
      </c>
      <c r="N2" s="8" t="s">
        <v>21</v>
      </c>
      <c r="O2" s="9">
        <v>41429</v>
      </c>
      <c r="P2" s="14" t="s">
        <v>22</v>
      </c>
    </row>
    <row r="3" spans="1:16" ht="15" hidden="1">
      <c r="A3" s="24" t="s">
        <v>900</v>
      </c>
      <c r="B3" s="24" t="s">
        <v>901</v>
      </c>
      <c r="C3" s="25" t="s">
        <v>899</v>
      </c>
      <c r="D3" s="26"/>
      <c r="E3" s="25">
        <v>31</v>
      </c>
      <c r="F3" s="25">
        <v>8</v>
      </c>
      <c r="G3" s="25">
        <v>2</v>
      </c>
      <c r="H3" s="26">
        <f>(3600/Table22[[#This Row],[CT]])*(Table22[[#This Row],[CAV]])*24</f>
        <v>21600</v>
      </c>
      <c r="I3" s="26">
        <f t="shared" si="0"/>
        <v>7200</v>
      </c>
      <c r="J3" s="27">
        <v>1763</v>
      </c>
      <c r="L3" s="13" t="s">
        <v>27</v>
      </c>
      <c r="M3" s="8">
        <v>200</v>
      </c>
      <c r="N3" s="8" t="s">
        <v>28</v>
      </c>
      <c r="O3" s="12" t="s">
        <v>29</v>
      </c>
      <c r="P3" s="14" t="s">
        <v>30</v>
      </c>
    </row>
    <row r="4" spans="1:16" ht="15" hidden="1">
      <c r="A4" s="24" t="s">
        <v>902</v>
      </c>
      <c r="B4" s="24" t="s">
        <v>903</v>
      </c>
      <c r="C4" s="25" t="s">
        <v>899</v>
      </c>
      <c r="D4" s="26">
        <v>105</v>
      </c>
      <c r="E4" s="25">
        <v>23</v>
      </c>
      <c r="F4" s="25">
        <v>9</v>
      </c>
      <c r="G4" s="25">
        <v>6</v>
      </c>
      <c r="H4" s="26">
        <f>(3600/Table22[[#This Row],[CT]])*(Table22[[#This Row],[CAV]])*24</f>
        <v>57600</v>
      </c>
      <c r="I4" s="26">
        <f t="shared" si="0"/>
        <v>19200</v>
      </c>
      <c r="J4" s="27">
        <v>930</v>
      </c>
      <c r="L4" s="13" t="s">
        <v>34</v>
      </c>
      <c r="M4" s="8">
        <v>200</v>
      </c>
      <c r="N4" s="8" t="s">
        <v>28</v>
      </c>
      <c r="O4" s="8" t="s">
        <v>35</v>
      </c>
      <c r="P4" s="14" t="s">
        <v>36</v>
      </c>
    </row>
    <row r="5" spans="1:16" ht="15" hidden="1">
      <c r="A5" s="24" t="s">
        <v>904</v>
      </c>
      <c r="B5" s="24" t="s">
        <v>905</v>
      </c>
      <c r="C5" s="25" t="s">
        <v>899</v>
      </c>
      <c r="D5" s="26">
        <v>105</v>
      </c>
      <c r="E5" s="25">
        <v>23</v>
      </c>
      <c r="F5" s="25">
        <v>9</v>
      </c>
      <c r="G5" s="25">
        <v>6</v>
      </c>
      <c r="H5" s="26">
        <f>(3600/Table22[[#This Row],[CT]])*(Table22[[#This Row],[CAV]])*24</f>
        <v>57600</v>
      </c>
      <c r="I5" s="26">
        <f t="shared" si="0"/>
        <v>19200</v>
      </c>
      <c r="J5" s="27">
        <v>930</v>
      </c>
      <c r="L5" s="13" t="s">
        <v>39</v>
      </c>
      <c r="M5" s="8">
        <v>200</v>
      </c>
      <c r="N5" s="8" t="s">
        <v>28</v>
      </c>
      <c r="O5" s="8" t="s">
        <v>29</v>
      </c>
      <c r="P5" s="14" t="s">
        <v>40</v>
      </c>
    </row>
    <row r="6" spans="1:16" ht="15" hidden="1">
      <c r="A6" s="24" t="s">
        <v>906</v>
      </c>
      <c r="B6" s="24" t="s">
        <v>907</v>
      </c>
      <c r="C6" s="25" t="s">
        <v>899</v>
      </c>
      <c r="D6" s="26">
        <v>105</v>
      </c>
      <c r="E6" s="25">
        <v>23</v>
      </c>
      <c r="F6" s="25">
        <v>9</v>
      </c>
      <c r="G6" s="25">
        <v>6</v>
      </c>
      <c r="H6" s="26">
        <f>(3600/Table22[[#This Row],[CT]])*(Table22[[#This Row],[CAV]])*24</f>
        <v>57600</v>
      </c>
      <c r="I6" s="26">
        <f t="shared" si="0"/>
        <v>19200</v>
      </c>
      <c r="J6" s="27">
        <v>930</v>
      </c>
      <c r="L6" s="13" t="s">
        <v>43</v>
      </c>
      <c r="M6" s="8">
        <v>260</v>
      </c>
      <c r="N6" s="8" t="s">
        <v>28</v>
      </c>
      <c r="O6" s="8" t="s">
        <v>44</v>
      </c>
      <c r="P6" s="14" t="s">
        <v>45</v>
      </c>
    </row>
    <row r="7" spans="1:16" ht="15" hidden="1">
      <c r="A7" s="24" t="s">
        <v>908</v>
      </c>
      <c r="B7" s="24" t="s">
        <v>909</v>
      </c>
      <c r="C7" s="25" t="s">
        <v>899</v>
      </c>
      <c r="D7" s="26">
        <v>140</v>
      </c>
      <c r="E7" s="25">
        <v>31</v>
      </c>
      <c r="F7" s="25">
        <v>8</v>
      </c>
      <c r="G7" s="25">
        <v>2</v>
      </c>
      <c r="H7" s="26">
        <f>(3600/Table22[[#This Row],[CT]])*(Table22[[#This Row],[CAV]])*24</f>
        <v>21600</v>
      </c>
      <c r="I7" s="26">
        <f t="shared" si="0"/>
        <v>7200</v>
      </c>
      <c r="J7" s="27">
        <v>1763</v>
      </c>
      <c r="L7" s="13" t="s">
        <v>48</v>
      </c>
      <c r="M7" s="8">
        <v>250</v>
      </c>
      <c r="N7" s="8" t="s">
        <v>49</v>
      </c>
      <c r="O7" s="8" t="s">
        <v>50</v>
      </c>
      <c r="P7" s="14">
        <v>202011025052040</v>
      </c>
    </row>
    <row r="8" spans="1:16" ht="15" hidden="1">
      <c r="A8" s="24" t="s">
        <v>910</v>
      </c>
      <c r="B8" s="24" t="s">
        <v>911</v>
      </c>
      <c r="C8" s="25" t="s">
        <v>899</v>
      </c>
      <c r="D8" s="26">
        <v>140</v>
      </c>
      <c r="E8" s="25">
        <v>31</v>
      </c>
      <c r="F8" s="25">
        <v>8</v>
      </c>
      <c r="G8" s="25">
        <v>2</v>
      </c>
      <c r="H8" s="26">
        <f>(3600/Table22[[#This Row],[CT]])*(Table22[[#This Row],[CAV]])*24</f>
        <v>21600</v>
      </c>
      <c r="I8" s="26">
        <f t="shared" si="0"/>
        <v>7200</v>
      </c>
      <c r="J8" s="27">
        <v>1763</v>
      </c>
      <c r="L8" s="13" t="s">
        <v>53</v>
      </c>
      <c r="M8" s="8">
        <v>200</v>
      </c>
      <c r="N8" s="8" t="s">
        <v>49</v>
      </c>
      <c r="O8" s="8" t="s">
        <v>54</v>
      </c>
      <c r="P8" s="14">
        <v>202110020067023</v>
      </c>
    </row>
    <row r="9" spans="1:16" ht="15" hidden="1">
      <c r="A9" s="24" t="s">
        <v>912</v>
      </c>
      <c r="B9" s="24" t="s">
        <v>913</v>
      </c>
      <c r="C9" s="25" t="s">
        <v>899</v>
      </c>
      <c r="D9" s="26">
        <v>140</v>
      </c>
      <c r="E9" s="25">
        <v>31</v>
      </c>
      <c r="F9" s="25">
        <v>8</v>
      </c>
      <c r="G9" s="25"/>
      <c r="H9" s="26">
        <f>(3600/Table22[[#This Row],[CT]])*(Table22[[#This Row],[CAV]])*24</f>
        <v>0</v>
      </c>
      <c r="I9" s="26">
        <f t="shared" si="0"/>
        <v>0</v>
      </c>
      <c r="J9" s="27">
        <v>2800</v>
      </c>
      <c r="L9" s="13" t="s">
        <v>57</v>
      </c>
      <c r="M9" s="8">
        <v>200</v>
      </c>
      <c r="N9" s="8" t="s">
        <v>49</v>
      </c>
      <c r="O9" s="8" t="s">
        <v>58</v>
      </c>
      <c r="P9" s="14">
        <v>202110020067024</v>
      </c>
    </row>
    <row r="10" spans="1:16" ht="15" hidden="1">
      <c r="A10" s="24" t="s">
        <v>914</v>
      </c>
      <c r="B10" s="24" t="s">
        <v>915</v>
      </c>
      <c r="C10" s="25" t="s">
        <v>899</v>
      </c>
      <c r="D10" s="26">
        <v>140</v>
      </c>
      <c r="E10" s="25">
        <v>31</v>
      </c>
      <c r="F10" s="25">
        <v>8</v>
      </c>
      <c r="G10" s="25">
        <v>2</v>
      </c>
      <c r="H10" s="26">
        <f>(3600/Table22[[#This Row],[CT]])*(Table22[[#This Row],[CAV]])*24</f>
        <v>21600</v>
      </c>
      <c r="I10" s="26">
        <f t="shared" si="0"/>
        <v>7200</v>
      </c>
      <c r="J10" s="27">
        <v>2500</v>
      </c>
      <c r="L10" s="13" t="s">
        <v>61</v>
      </c>
      <c r="M10" s="8">
        <v>200</v>
      </c>
      <c r="N10" s="8" t="s">
        <v>28</v>
      </c>
      <c r="O10" s="8" t="s">
        <v>62</v>
      </c>
      <c r="P10" s="14" t="s">
        <v>63</v>
      </c>
    </row>
    <row r="11" spans="1:16" ht="15" hidden="1">
      <c r="A11" s="24" t="s">
        <v>916</v>
      </c>
      <c r="B11" s="24" t="s">
        <v>917</v>
      </c>
      <c r="C11" s="25" t="s">
        <v>899</v>
      </c>
      <c r="D11" s="26">
        <v>140</v>
      </c>
      <c r="E11" s="25">
        <v>31</v>
      </c>
      <c r="F11" s="25">
        <v>8</v>
      </c>
      <c r="G11" s="25">
        <v>2</v>
      </c>
      <c r="H11" s="26">
        <f>(3600/Table22[[#This Row],[CT]])*(Table22[[#This Row],[CAV]])*24</f>
        <v>21600</v>
      </c>
      <c r="I11" s="26">
        <f t="shared" si="0"/>
        <v>7200</v>
      </c>
      <c r="J11" s="27">
        <v>1950</v>
      </c>
      <c r="L11" s="13" t="s">
        <v>66</v>
      </c>
      <c r="M11" s="8">
        <v>200</v>
      </c>
      <c r="N11" s="8" t="s">
        <v>28</v>
      </c>
      <c r="O11" s="8" t="s">
        <v>62</v>
      </c>
      <c r="P11" s="14" t="s">
        <v>67</v>
      </c>
    </row>
    <row r="12" spans="1:16" ht="15" hidden="1">
      <c r="A12" s="24" t="s">
        <v>918</v>
      </c>
      <c r="B12" s="24" t="s">
        <v>919</v>
      </c>
      <c r="C12" s="25" t="s">
        <v>899</v>
      </c>
      <c r="D12" s="26">
        <v>140</v>
      </c>
      <c r="E12" s="25">
        <v>31</v>
      </c>
      <c r="F12" s="25">
        <v>8</v>
      </c>
      <c r="G12" s="25">
        <v>2</v>
      </c>
      <c r="H12" s="26">
        <f>(3600/Table22[[#This Row],[CT]])*(Table22[[#This Row],[CAV]])*24</f>
        <v>21600</v>
      </c>
      <c r="I12" s="26">
        <f t="shared" si="0"/>
        <v>7200</v>
      </c>
      <c r="J12" s="27">
        <v>1950</v>
      </c>
      <c r="L12" s="13" t="s">
        <v>70</v>
      </c>
      <c r="M12" s="8">
        <v>320</v>
      </c>
      <c r="N12" s="8" t="s">
        <v>28</v>
      </c>
      <c r="O12" s="8" t="s">
        <v>71</v>
      </c>
      <c r="P12" s="14" t="s">
        <v>72</v>
      </c>
    </row>
    <row r="13" spans="1:16" ht="15" hidden="1">
      <c r="A13" s="24" t="s">
        <v>920</v>
      </c>
      <c r="B13" s="24" t="s">
        <v>921</v>
      </c>
      <c r="C13" s="25" t="s">
        <v>899</v>
      </c>
      <c r="D13" s="26">
        <v>140</v>
      </c>
      <c r="E13" s="25">
        <v>31</v>
      </c>
      <c r="F13" s="25">
        <v>9</v>
      </c>
      <c r="G13" s="25">
        <v>2</v>
      </c>
      <c r="H13" s="26">
        <f>(3600/Table22[[#This Row],[CT]])*(Table22[[#This Row],[CAV]])*24</f>
        <v>19200</v>
      </c>
      <c r="I13" s="26">
        <f t="shared" si="0"/>
        <v>6400</v>
      </c>
      <c r="J13" s="27">
        <v>1950</v>
      </c>
      <c r="L13" s="13" t="s">
        <v>75</v>
      </c>
      <c r="M13" s="8">
        <v>200</v>
      </c>
      <c r="N13" s="8" t="s">
        <v>28</v>
      </c>
      <c r="O13" s="8" t="s">
        <v>62</v>
      </c>
      <c r="P13" s="14" t="s">
        <v>76</v>
      </c>
    </row>
    <row r="14" spans="1:16" ht="15" hidden="1">
      <c r="A14" s="24" t="s">
        <v>922</v>
      </c>
      <c r="B14" s="24" t="s">
        <v>923</v>
      </c>
      <c r="C14" s="25" t="s">
        <v>899</v>
      </c>
      <c r="D14" s="26">
        <v>140</v>
      </c>
      <c r="E14" s="25">
        <v>31</v>
      </c>
      <c r="F14" s="25">
        <v>7</v>
      </c>
      <c r="G14" s="25">
        <v>2</v>
      </c>
      <c r="H14" s="26">
        <f>(3600/Table22[[#This Row],[CT]])*(Table22[[#This Row],[CAV]])*24</f>
        <v>24685.71428571429</v>
      </c>
      <c r="I14" s="26">
        <f t="shared" si="0"/>
        <v>8228.5714285714294</v>
      </c>
      <c r="J14" s="27">
        <v>2700</v>
      </c>
      <c r="L14" s="13" t="s">
        <v>79</v>
      </c>
      <c r="M14" s="8">
        <v>250</v>
      </c>
      <c r="N14" s="8" t="s">
        <v>49</v>
      </c>
      <c r="O14" s="9">
        <v>44512</v>
      </c>
      <c r="P14" s="14">
        <v>202111025066843</v>
      </c>
    </row>
    <row r="15" spans="1:16" ht="15" hidden="1">
      <c r="A15" s="24" t="s">
        <v>924</v>
      </c>
      <c r="B15" s="24" t="s">
        <v>925</v>
      </c>
      <c r="C15" s="25" t="s">
        <v>899</v>
      </c>
      <c r="D15" s="26">
        <v>140</v>
      </c>
      <c r="E15" s="25">
        <v>31</v>
      </c>
      <c r="F15" s="25">
        <v>8</v>
      </c>
      <c r="G15" s="25"/>
      <c r="H15" s="26">
        <f>(3600/Table22[[#This Row],[CT]])*(Table22[[#This Row],[CAV]])*24</f>
        <v>0</v>
      </c>
      <c r="I15" s="26">
        <f t="shared" si="0"/>
        <v>0</v>
      </c>
      <c r="J15" s="27">
        <v>2000</v>
      </c>
      <c r="L15" s="13" t="s">
        <v>82</v>
      </c>
      <c r="M15" s="8">
        <v>260</v>
      </c>
      <c r="N15" s="8" t="s">
        <v>28</v>
      </c>
      <c r="O15" s="8" t="s">
        <v>83</v>
      </c>
      <c r="P15" s="14" t="s">
        <v>84</v>
      </c>
    </row>
    <row r="16" spans="1:16" ht="15" hidden="1">
      <c r="A16" s="24" t="s">
        <v>926</v>
      </c>
      <c r="B16" s="24" t="s">
        <v>927</v>
      </c>
      <c r="C16" s="25" t="s">
        <v>899</v>
      </c>
      <c r="D16" s="26">
        <v>140</v>
      </c>
      <c r="E16" s="25">
        <v>31</v>
      </c>
      <c r="F16" s="25">
        <v>8</v>
      </c>
      <c r="G16" s="25">
        <v>2</v>
      </c>
      <c r="H16" s="26">
        <f>(3600/Table22[[#This Row],[CT]])*(Table22[[#This Row],[CAV]])*24</f>
        <v>21600</v>
      </c>
      <c r="I16" s="26">
        <f t="shared" si="0"/>
        <v>7200</v>
      </c>
      <c r="J16" s="27">
        <v>2450</v>
      </c>
      <c r="L16" s="13" t="s">
        <v>87</v>
      </c>
      <c r="M16" s="8">
        <v>260</v>
      </c>
      <c r="N16" s="8" t="s">
        <v>28</v>
      </c>
      <c r="O16" s="8" t="s">
        <v>83</v>
      </c>
      <c r="P16" s="14" t="s">
        <v>88</v>
      </c>
    </row>
    <row r="17" spans="1:16" ht="15" hidden="1">
      <c r="A17" s="24" t="s">
        <v>928</v>
      </c>
      <c r="B17" s="24" t="s">
        <v>929</v>
      </c>
      <c r="C17" s="25" t="s">
        <v>899</v>
      </c>
      <c r="D17" s="26">
        <v>120</v>
      </c>
      <c r="E17" s="25">
        <v>31</v>
      </c>
      <c r="F17" s="25">
        <v>9</v>
      </c>
      <c r="G17" s="25">
        <v>2</v>
      </c>
      <c r="H17" s="26">
        <f>(3600/Table22[[#This Row],[CT]])*(Table22[[#This Row],[CAV]])*24</f>
        <v>19200</v>
      </c>
      <c r="I17" s="26">
        <f t="shared" si="0"/>
        <v>6400</v>
      </c>
      <c r="J17" s="27">
        <v>2450</v>
      </c>
      <c r="L17" s="13" t="s">
        <v>91</v>
      </c>
      <c r="M17" s="8">
        <v>200</v>
      </c>
      <c r="N17" s="8" t="s">
        <v>28</v>
      </c>
      <c r="O17" s="8" t="s">
        <v>92</v>
      </c>
      <c r="P17" s="14" t="s">
        <v>93</v>
      </c>
    </row>
    <row r="18" spans="1:16" ht="15" hidden="1">
      <c r="A18" s="24" t="s">
        <v>930</v>
      </c>
      <c r="B18" s="24" t="s">
        <v>931</v>
      </c>
      <c r="C18" s="25" t="s">
        <v>899</v>
      </c>
      <c r="D18" s="26">
        <v>120</v>
      </c>
      <c r="E18" s="25">
        <v>31</v>
      </c>
      <c r="F18" s="25">
        <v>8</v>
      </c>
      <c r="G18" s="25">
        <v>2</v>
      </c>
      <c r="H18" s="26">
        <f>(3600/Table22[[#This Row],[CT]])*(Table22[[#This Row],[CAV]])*24</f>
        <v>21600</v>
      </c>
      <c r="I18" s="26">
        <f t="shared" si="0"/>
        <v>7200</v>
      </c>
      <c r="J18" s="27">
        <v>2800</v>
      </c>
      <c r="L18" s="13" t="s">
        <v>96</v>
      </c>
      <c r="M18" s="8">
        <v>200</v>
      </c>
      <c r="N18" s="8" t="s">
        <v>28</v>
      </c>
      <c r="O18" s="8" t="s">
        <v>97</v>
      </c>
      <c r="P18" s="14" t="s">
        <v>98</v>
      </c>
    </row>
    <row r="19" spans="1:16" ht="15" hidden="1">
      <c r="A19" s="24" t="s">
        <v>932</v>
      </c>
      <c r="B19" s="24" t="s">
        <v>933</v>
      </c>
      <c r="C19" s="25" t="s">
        <v>899</v>
      </c>
      <c r="D19" s="26">
        <v>150</v>
      </c>
      <c r="E19" s="25">
        <v>35</v>
      </c>
      <c r="F19" s="25">
        <v>10</v>
      </c>
      <c r="G19" s="25">
        <v>2</v>
      </c>
      <c r="H19" s="26">
        <f>(3600/Table22[[#This Row],[CT]])*(Table22[[#This Row],[CAV]])*24</f>
        <v>17280</v>
      </c>
      <c r="I19" s="26">
        <f t="shared" si="0"/>
        <v>5760</v>
      </c>
      <c r="J19" s="27">
        <v>2950</v>
      </c>
      <c r="L19" s="13" t="s">
        <v>101</v>
      </c>
      <c r="M19" s="8">
        <v>2000</v>
      </c>
      <c r="N19" s="8" t="s">
        <v>102</v>
      </c>
      <c r="O19" s="8" t="s">
        <v>103</v>
      </c>
      <c r="P19" s="14" t="s">
        <v>104</v>
      </c>
    </row>
    <row r="20" spans="1:16" ht="15" hidden="1">
      <c r="A20" s="24" t="s">
        <v>934</v>
      </c>
      <c r="B20" s="24" t="s">
        <v>935</v>
      </c>
      <c r="C20" s="25" t="s">
        <v>899</v>
      </c>
      <c r="D20" s="26">
        <v>140</v>
      </c>
      <c r="E20" s="25">
        <v>31</v>
      </c>
      <c r="F20" s="25">
        <v>8</v>
      </c>
      <c r="G20" s="25">
        <v>2</v>
      </c>
      <c r="H20" s="26">
        <f>(3600/Table22[[#This Row],[CT]])*(Table22[[#This Row],[CAV]])*24</f>
        <v>21600</v>
      </c>
      <c r="I20" s="26">
        <f t="shared" si="0"/>
        <v>7200</v>
      </c>
      <c r="J20" s="27">
        <v>2800</v>
      </c>
      <c r="L20" s="13" t="s">
        <v>108</v>
      </c>
      <c r="M20" s="8">
        <v>2000</v>
      </c>
      <c r="N20" s="8" t="s">
        <v>109</v>
      </c>
      <c r="O20" s="8" t="s">
        <v>110</v>
      </c>
      <c r="P20" s="14">
        <v>202016</v>
      </c>
    </row>
    <row r="21" spans="1:16" ht="15" hidden="1">
      <c r="A21" s="24" t="s">
        <v>936</v>
      </c>
      <c r="B21" s="24" t="s">
        <v>937</v>
      </c>
      <c r="C21" s="25" t="s">
        <v>899</v>
      </c>
      <c r="D21" s="26">
        <v>140</v>
      </c>
      <c r="E21" s="25">
        <v>31</v>
      </c>
      <c r="F21" s="25">
        <v>8</v>
      </c>
      <c r="G21" s="25">
        <v>2</v>
      </c>
      <c r="H21" s="26">
        <f>(3600/Table22[[#This Row],[CT]])*(Table22[[#This Row],[CAV]])*24</f>
        <v>21600</v>
      </c>
      <c r="I21" s="26">
        <f t="shared" si="0"/>
        <v>7200</v>
      </c>
      <c r="J21" s="27">
        <v>2300</v>
      </c>
      <c r="L21" s="13" t="s">
        <v>113</v>
      </c>
      <c r="M21" s="8">
        <v>2000</v>
      </c>
      <c r="N21" s="8" t="s">
        <v>109</v>
      </c>
      <c r="O21" s="8" t="s">
        <v>35</v>
      </c>
      <c r="P21" s="14">
        <v>201672</v>
      </c>
    </row>
    <row r="22" spans="1:16" ht="15" hidden="1">
      <c r="A22" s="24" t="s">
        <v>938</v>
      </c>
      <c r="B22" s="24" t="s">
        <v>939</v>
      </c>
      <c r="C22" s="25" t="s">
        <v>899</v>
      </c>
      <c r="D22" s="26">
        <v>140</v>
      </c>
      <c r="E22" s="25">
        <v>31</v>
      </c>
      <c r="F22" s="25">
        <v>9</v>
      </c>
      <c r="G22" s="25">
        <v>2</v>
      </c>
      <c r="H22" s="26">
        <f>(3600/Table22[[#This Row],[CT]])*(Table22[[#This Row],[CAV]])*24</f>
        <v>19200</v>
      </c>
      <c r="I22" s="26">
        <f t="shared" si="0"/>
        <v>6400</v>
      </c>
      <c r="J22" s="27">
        <v>2450</v>
      </c>
      <c r="L22" s="13" t="s">
        <v>116</v>
      </c>
      <c r="M22" s="8">
        <v>4000</v>
      </c>
      <c r="N22" s="8" t="s">
        <v>109</v>
      </c>
      <c r="O22" s="8" t="s">
        <v>29</v>
      </c>
      <c r="P22" s="14">
        <v>201773</v>
      </c>
    </row>
    <row r="23" spans="1:16" ht="15" hidden="1">
      <c r="A23" s="24" t="s">
        <v>940</v>
      </c>
      <c r="B23" s="24" t="s">
        <v>941</v>
      </c>
      <c r="C23" s="25" t="s">
        <v>899</v>
      </c>
      <c r="D23" s="26">
        <v>140</v>
      </c>
      <c r="E23" s="25">
        <v>31</v>
      </c>
      <c r="F23" s="25">
        <v>7</v>
      </c>
      <c r="G23" s="25">
        <v>2</v>
      </c>
      <c r="H23" s="26">
        <f>(3600/Table22[[#This Row],[CT]])*(Table22[[#This Row],[CAV]])*24</f>
        <v>24685.71428571429</v>
      </c>
      <c r="I23" s="26">
        <f t="shared" si="0"/>
        <v>8228.5714285714294</v>
      </c>
      <c r="J23" s="27">
        <v>1500</v>
      </c>
      <c r="L23" s="13" t="s">
        <v>119</v>
      </c>
      <c r="M23" s="8">
        <v>4000</v>
      </c>
      <c r="N23" s="8" t="s">
        <v>109</v>
      </c>
      <c r="O23" s="8" t="s">
        <v>110</v>
      </c>
      <c r="P23" s="14">
        <v>202055</v>
      </c>
    </row>
    <row r="24" spans="1:16" ht="15" hidden="1">
      <c r="A24" s="24" t="s">
        <v>942</v>
      </c>
      <c r="B24" s="24" t="s">
        <v>943</v>
      </c>
      <c r="C24" s="25" t="s">
        <v>899</v>
      </c>
      <c r="D24" s="26">
        <v>140</v>
      </c>
      <c r="E24" s="25">
        <v>31</v>
      </c>
      <c r="F24" s="25">
        <v>7</v>
      </c>
      <c r="G24" s="25">
        <v>2</v>
      </c>
      <c r="H24" s="26">
        <f>(3600/Table22[[#This Row],[CT]])*(Table22[[#This Row],[CAV]])*24</f>
        <v>24685.71428571429</v>
      </c>
      <c r="I24" s="26">
        <f t="shared" si="0"/>
        <v>8228.5714285714294</v>
      </c>
      <c r="J24" s="27">
        <v>2800</v>
      </c>
      <c r="L24" s="13" t="s">
        <v>122</v>
      </c>
      <c r="M24" s="8">
        <v>6000</v>
      </c>
      <c r="N24" s="8" t="s">
        <v>109</v>
      </c>
      <c r="O24" s="8" t="s">
        <v>71</v>
      </c>
      <c r="P24" s="14">
        <v>202091</v>
      </c>
    </row>
    <row r="25" spans="1:16" ht="15" hidden="1">
      <c r="A25" s="24" t="s">
        <v>944</v>
      </c>
      <c r="B25" s="24" t="s">
        <v>945</v>
      </c>
      <c r="C25" s="25" t="s">
        <v>899</v>
      </c>
      <c r="D25" s="26">
        <v>140</v>
      </c>
      <c r="E25" s="25">
        <v>31</v>
      </c>
      <c r="F25" s="25">
        <v>8</v>
      </c>
      <c r="G25" s="25">
        <v>2</v>
      </c>
      <c r="H25" s="26">
        <f>(3600/Table22[[#This Row],[CT]])*(Table22[[#This Row],[CAV]])*24</f>
        <v>21600</v>
      </c>
      <c r="I25" s="26">
        <f t="shared" si="0"/>
        <v>7200</v>
      </c>
      <c r="J25" s="27">
        <v>2900</v>
      </c>
      <c r="L25" s="13" t="s">
        <v>125</v>
      </c>
      <c r="M25" s="8">
        <v>4000</v>
      </c>
      <c r="N25" s="8" t="s">
        <v>109</v>
      </c>
      <c r="O25" s="8" t="s">
        <v>44</v>
      </c>
      <c r="P25" s="14">
        <v>202033</v>
      </c>
    </row>
    <row r="26" spans="1:16" ht="15" hidden="1">
      <c r="A26" s="24" t="s">
        <v>946</v>
      </c>
      <c r="B26" s="24" t="s">
        <v>947</v>
      </c>
      <c r="C26" s="25" t="s">
        <v>899</v>
      </c>
      <c r="D26" s="26">
        <v>140</v>
      </c>
      <c r="E26" s="25">
        <v>31</v>
      </c>
      <c r="F26" s="25">
        <v>9</v>
      </c>
      <c r="G26" s="25">
        <v>2</v>
      </c>
      <c r="H26" s="26"/>
      <c r="I26" s="26"/>
      <c r="J26" s="27">
        <v>1800</v>
      </c>
      <c r="L26" s="13" t="s">
        <v>128</v>
      </c>
      <c r="M26" s="8">
        <v>4000</v>
      </c>
      <c r="N26" s="8" t="s">
        <v>109</v>
      </c>
      <c r="O26" s="8" t="s">
        <v>44</v>
      </c>
      <c r="P26" s="14">
        <v>202034</v>
      </c>
    </row>
    <row r="27" spans="1:16" ht="15" hidden="1">
      <c r="A27" s="24" t="s">
        <v>948</v>
      </c>
      <c r="B27" s="24" t="s">
        <v>949</v>
      </c>
      <c r="C27" s="25" t="s">
        <v>899</v>
      </c>
      <c r="D27" s="26">
        <v>140</v>
      </c>
      <c r="E27" s="25">
        <v>31</v>
      </c>
      <c r="F27" s="25">
        <v>8</v>
      </c>
      <c r="G27" s="25">
        <v>2</v>
      </c>
      <c r="H27" s="26">
        <f>(3600/Table22[[#This Row],[CT]])*(Table22[[#This Row],[CAV]])*24</f>
        <v>21600</v>
      </c>
      <c r="I27" s="26">
        <f>H27/3</f>
        <v>7200</v>
      </c>
      <c r="J27" s="27">
        <v>1500</v>
      </c>
      <c r="L27" s="13" t="s">
        <v>131</v>
      </c>
      <c r="M27" s="8">
        <v>2000</v>
      </c>
      <c r="N27" s="8" t="s">
        <v>109</v>
      </c>
      <c r="O27" s="8" t="s">
        <v>132</v>
      </c>
      <c r="P27" s="14">
        <v>202081</v>
      </c>
    </row>
    <row r="28" spans="1:16" ht="15" hidden="1">
      <c r="A28" s="28" t="s">
        <v>950</v>
      </c>
      <c r="B28" s="28" t="s">
        <v>951</v>
      </c>
      <c r="C28" s="25" t="s">
        <v>899</v>
      </c>
      <c r="D28" s="26">
        <v>140</v>
      </c>
      <c r="E28" s="25">
        <v>31</v>
      </c>
      <c r="F28" s="25">
        <v>8</v>
      </c>
      <c r="G28" s="25">
        <v>2</v>
      </c>
      <c r="H28" s="26">
        <f>(3600/Table22[[#This Row],[CT]])*(Table22[[#This Row],[CAV]])*24</f>
        <v>21600</v>
      </c>
      <c r="I28" s="26">
        <f>H28/3</f>
        <v>7200</v>
      </c>
      <c r="J28" s="27">
        <v>2450</v>
      </c>
      <c r="L28" s="13" t="s">
        <v>135</v>
      </c>
      <c r="M28" s="8">
        <v>6000</v>
      </c>
      <c r="N28" s="8" t="s">
        <v>109</v>
      </c>
      <c r="O28" s="8" t="s">
        <v>136</v>
      </c>
      <c r="P28" s="14">
        <v>202148</v>
      </c>
    </row>
    <row r="29" spans="1:16" ht="15" hidden="1">
      <c r="A29" s="24" t="s">
        <v>952</v>
      </c>
      <c r="B29" s="24" t="s">
        <v>953</v>
      </c>
      <c r="C29" s="25" t="s">
        <v>899</v>
      </c>
      <c r="D29" s="26">
        <v>140</v>
      </c>
      <c r="E29" s="25">
        <v>31</v>
      </c>
      <c r="F29" s="25">
        <v>8</v>
      </c>
      <c r="G29" s="25">
        <v>2</v>
      </c>
      <c r="H29" s="26">
        <f>(3600/Table22[[#This Row],[CT]])*(Table22[[#This Row],[CAV]])*24</f>
        <v>21600</v>
      </c>
      <c r="I29" s="26">
        <f>H29/3</f>
        <v>7200</v>
      </c>
      <c r="J29" s="27">
        <v>2500</v>
      </c>
      <c r="L29" s="13" t="s">
        <v>139</v>
      </c>
      <c r="M29" s="8">
        <v>4000</v>
      </c>
      <c r="N29" s="8" t="s">
        <v>109</v>
      </c>
      <c r="O29" s="8" t="s">
        <v>140</v>
      </c>
      <c r="P29" s="14">
        <v>201921</v>
      </c>
    </row>
    <row r="30" spans="1:16" ht="15" hidden="1">
      <c r="A30" s="24" t="s">
        <v>954</v>
      </c>
      <c r="B30" s="24" t="s">
        <v>955</v>
      </c>
      <c r="C30" s="25" t="s">
        <v>899</v>
      </c>
      <c r="D30" s="26">
        <v>140</v>
      </c>
      <c r="E30" s="25">
        <v>31</v>
      </c>
      <c r="F30" s="25">
        <v>8</v>
      </c>
      <c r="G30" s="25">
        <v>2</v>
      </c>
      <c r="H30" s="26">
        <f>(3600/Table22[[#This Row],[CT]])*(Table22[[#This Row],[CAV]])*24</f>
        <v>21600</v>
      </c>
      <c r="I30" s="26">
        <f>H30/3</f>
        <v>7200</v>
      </c>
      <c r="J30" s="27">
        <v>2800</v>
      </c>
      <c r="L30" s="15" t="s">
        <v>143</v>
      </c>
      <c r="M30" s="16" t="s">
        <v>144</v>
      </c>
      <c r="N30" s="16" t="s">
        <v>145</v>
      </c>
      <c r="O30" s="16" t="s">
        <v>146</v>
      </c>
      <c r="P30" s="17" t="s">
        <v>147</v>
      </c>
    </row>
    <row r="31" spans="1:16" ht="15" hidden="1">
      <c r="A31" s="24" t="s">
        <v>956</v>
      </c>
      <c r="B31" s="24" t="s">
        <v>957</v>
      </c>
      <c r="C31" s="25" t="s">
        <v>899</v>
      </c>
      <c r="D31" s="26">
        <v>140</v>
      </c>
      <c r="E31" s="25">
        <v>31</v>
      </c>
      <c r="F31" s="25">
        <v>9</v>
      </c>
      <c r="G31" s="25">
        <v>2</v>
      </c>
      <c r="H31" s="26"/>
      <c r="I31" s="26"/>
      <c r="J31" s="27">
        <v>2800</v>
      </c>
    </row>
    <row r="32" spans="1:16" ht="15" hidden="1">
      <c r="A32" s="28" t="s">
        <v>958</v>
      </c>
      <c r="B32" s="28" t="s">
        <v>959</v>
      </c>
      <c r="C32" s="25" t="s">
        <v>899</v>
      </c>
      <c r="D32" s="26">
        <v>140</v>
      </c>
      <c r="E32" s="25">
        <v>31</v>
      </c>
      <c r="F32" s="25">
        <v>7</v>
      </c>
      <c r="G32" s="25">
        <v>2</v>
      </c>
      <c r="H32" s="26">
        <f>(3600/Table22[[#This Row],[CT]])*(Table22[[#This Row],[CAV]])*24</f>
        <v>24685.71428571429</v>
      </c>
      <c r="I32" s="26">
        <f t="shared" ref="I32:I38" si="1">H32/3</f>
        <v>8228.5714285714294</v>
      </c>
      <c r="J32" s="27">
        <v>1950</v>
      </c>
    </row>
    <row r="33" spans="1:10" ht="15" hidden="1">
      <c r="A33" s="24" t="s">
        <v>960</v>
      </c>
      <c r="B33" s="24" t="s">
        <v>961</v>
      </c>
      <c r="C33" s="25" t="s">
        <v>899</v>
      </c>
      <c r="D33" s="26">
        <v>661</v>
      </c>
      <c r="E33" s="25">
        <v>17</v>
      </c>
      <c r="F33" s="25">
        <v>8</v>
      </c>
      <c r="G33" s="25">
        <v>4</v>
      </c>
      <c r="H33" s="26">
        <f>(3600/Table22[[#This Row],[CT]])*(Table22[[#This Row],[CAV]])*24</f>
        <v>43200</v>
      </c>
      <c r="I33" s="26">
        <f t="shared" si="1"/>
        <v>14400</v>
      </c>
      <c r="J33" s="27">
        <v>1150</v>
      </c>
    </row>
    <row r="34" spans="1:10" ht="15" hidden="1">
      <c r="A34" s="24" t="s">
        <v>962</v>
      </c>
      <c r="B34" s="24" t="s">
        <v>963</v>
      </c>
      <c r="C34" s="25" t="s">
        <v>899</v>
      </c>
      <c r="D34" s="26">
        <v>198</v>
      </c>
      <c r="E34" s="25">
        <v>12.5</v>
      </c>
      <c r="F34" s="25">
        <v>8</v>
      </c>
      <c r="G34" s="25"/>
      <c r="H34" s="26">
        <f>(3600/Table22[[#This Row],[CT]])*(Table22[[#This Row],[CAV]])*24</f>
        <v>0</v>
      </c>
      <c r="I34" s="26">
        <f t="shared" si="1"/>
        <v>0</v>
      </c>
      <c r="J34" s="27">
        <v>550</v>
      </c>
    </row>
    <row r="35" spans="1:10" ht="15" hidden="1">
      <c r="A35" s="24" t="s">
        <v>964</v>
      </c>
      <c r="B35" s="24" t="s">
        <v>965</v>
      </c>
      <c r="C35" s="25" t="s">
        <v>899</v>
      </c>
      <c r="D35" s="26">
        <v>50</v>
      </c>
      <c r="E35" s="25">
        <v>24</v>
      </c>
      <c r="F35" s="25">
        <v>8</v>
      </c>
      <c r="G35" s="25"/>
      <c r="H35" s="26">
        <f>(3600/Table22[[#This Row],[CT]])*(Table22[[#This Row],[CAV]])*24</f>
        <v>0</v>
      </c>
      <c r="I35" s="26">
        <f t="shared" si="1"/>
        <v>0</v>
      </c>
      <c r="J35" s="27">
        <v>950</v>
      </c>
    </row>
    <row r="36" spans="1:10" ht="15" hidden="1">
      <c r="A36" s="24" t="s">
        <v>966</v>
      </c>
      <c r="B36" s="24" t="s">
        <v>967</v>
      </c>
      <c r="C36" s="25" t="s">
        <v>899</v>
      </c>
      <c r="D36" s="26">
        <v>159</v>
      </c>
      <c r="E36" s="25">
        <v>23</v>
      </c>
      <c r="F36" s="25">
        <v>19</v>
      </c>
      <c r="G36" s="25"/>
      <c r="H36" s="26">
        <f>(3600/Table22[[#This Row],[CT]])*(Table22[[#This Row],[CAV]])*24</f>
        <v>0</v>
      </c>
      <c r="I36" s="26">
        <f t="shared" si="1"/>
        <v>0</v>
      </c>
      <c r="J36" s="27">
        <v>1429</v>
      </c>
    </row>
    <row r="37" spans="1:10" ht="15" hidden="1">
      <c r="A37" s="24" t="s">
        <v>968</v>
      </c>
      <c r="B37" s="24" t="s">
        <v>969</v>
      </c>
      <c r="C37" s="25" t="s">
        <v>899</v>
      </c>
      <c r="D37" s="26">
        <v>1128</v>
      </c>
      <c r="E37" s="25">
        <v>13</v>
      </c>
      <c r="F37" s="25">
        <v>10</v>
      </c>
      <c r="G37" s="25">
        <v>2</v>
      </c>
      <c r="H37" s="26">
        <f>(3600/Table22[[#This Row],[CT]])*(Table22[[#This Row],[CAV]])*24</f>
        <v>17280</v>
      </c>
      <c r="I37" s="26">
        <f t="shared" si="1"/>
        <v>5760</v>
      </c>
      <c r="J37" s="27">
        <v>650</v>
      </c>
    </row>
    <row r="38" spans="1:10" ht="15" hidden="1">
      <c r="A38" s="24" t="s">
        <v>970</v>
      </c>
      <c r="B38" s="24" t="s">
        <v>971</v>
      </c>
      <c r="C38" s="25" t="s">
        <v>899</v>
      </c>
      <c r="D38" s="26">
        <v>231</v>
      </c>
      <c r="E38" s="25">
        <v>23.5</v>
      </c>
      <c r="F38" s="25">
        <v>9</v>
      </c>
      <c r="G38" s="25">
        <v>4</v>
      </c>
      <c r="H38" s="26">
        <f>(3600/Table22[[#This Row],[CT]])*(Table22[[#This Row],[CAV]])*24</f>
        <v>38400</v>
      </c>
      <c r="I38" s="26">
        <f t="shared" si="1"/>
        <v>12800</v>
      </c>
      <c r="J38" s="27">
        <v>1050</v>
      </c>
    </row>
    <row r="39" spans="1:10" ht="15" hidden="1">
      <c r="A39" s="24" t="s">
        <v>972</v>
      </c>
      <c r="B39" s="24" t="s">
        <v>973</v>
      </c>
      <c r="C39" s="25" t="s">
        <v>899</v>
      </c>
      <c r="D39" s="26">
        <v>231</v>
      </c>
      <c r="E39" s="25">
        <v>23.5</v>
      </c>
      <c r="F39" s="25"/>
      <c r="G39" s="25"/>
      <c r="H39" s="26"/>
      <c r="I39" s="26"/>
      <c r="J39" s="27"/>
    </row>
    <row r="40" spans="1:10" ht="15" hidden="1">
      <c r="A40" s="24" t="s">
        <v>974</v>
      </c>
      <c r="B40" s="24" t="s">
        <v>975</v>
      </c>
      <c r="C40" s="25" t="s">
        <v>899</v>
      </c>
      <c r="D40" s="26">
        <v>231</v>
      </c>
      <c r="E40" s="25">
        <v>23.5</v>
      </c>
      <c r="F40" s="25">
        <v>8</v>
      </c>
      <c r="G40" s="25">
        <v>2</v>
      </c>
      <c r="H40" s="26">
        <f>(3600/Table22[[#This Row],[CT]])*(Table22[[#This Row],[CAV]])*24</f>
        <v>21600</v>
      </c>
      <c r="I40" s="26">
        <f t="shared" ref="I40:I55" si="2">H40/3</f>
        <v>7200</v>
      </c>
      <c r="J40" s="27">
        <v>1050</v>
      </c>
    </row>
    <row r="41" spans="1:10" ht="15" hidden="1">
      <c r="A41" s="24" t="s">
        <v>976</v>
      </c>
      <c r="B41" s="24" t="s">
        <v>977</v>
      </c>
      <c r="C41" s="25" t="s">
        <v>899</v>
      </c>
      <c r="D41" s="26">
        <v>252</v>
      </c>
      <c r="E41" s="25">
        <v>23.5</v>
      </c>
      <c r="F41" s="25">
        <v>8</v>
      </c>
      <c r="G41" s="25">
        <v>4</v>
      </c>
      <c r="H41" s="26">
        <f>(3600/Table22[[#This Row],[CT]])*(Table22[[#This Row],[CAV]])*24</f>
        <v>43200</v>
      </c>
      <c r="I41" s="26">
        <f t="shared" si="2"/>
        <v>14400</v>
      </c>
      <c r="J41" s="27">
        <v>2066</v>
      </c>
    </row>
    <row r="42" spans="1:10" ht="15" hidden="1">
      <c r="A42" s="24" t="s">
        <v>978</v>
      </c>
      <c r="B42" s="24" t="s">
        <v>977</v>
      </c>
      <c r="C42" s="25" t="s">
        <v>899</v>
      </c>
      <c r="D42" s="26">
        <v>252</v>
      </c>
      <c r="E42" s="25">
        <v>23</v>
      </c>
      <c r="F42" s="25">
        <v>8</v>
      </c>
      <c r="G42" s="25">
        <v>4</v>
      </c>
      <c r="H42" s="26">
        <f>(3600/Table22[[#This Row],[CT]])*(Table22[[#This Row],[CAV]])*24</f>
        <v>43200</v>
      </c>
      <c r="I42" s="26">
        <f t="shared" si="2"/>
        <v>14400</v>
      </c>
      <c r="J42" s="27"/>
    </row>
    <row r="43" spans="1:10" ht="15" hidden="1">
      <c r="A43" s="24" t="s">
        <v>979</v>
      </c>
      <c r="B43" s="24" t="s">
        <v>980</v>
      </c>
      <c r="C43" s="25" t="s">
        <v>899</v>
      </c>
      <c r="D43" s="26">
        <v>115</v>
      </c>
      <c r="E43" s="25">
        <v>38</v>
      </c>
      <c r="F43" s="25">
        <v>9</v>
      </c>
      <c r="G43" s="25">
        <v>2</v>
      </c>
      <c r="H43" s="26">
        <f>(3600/Table22[[#This Row],[CT]])*(Table22[[#This Row],[CAV]])*24</f>
        <v>19200</v>
      </c>
      <c r="I43" s="26">
        <f t="shared" si="2"/>
        <v>6400</v>
      </c>
      <c r="J43" s="27">
        <v>2800</v>
      </c>
    </row>
    <row r="44" spans="1:10" ht="15" hidden="1">
      <c r="A44" s="24" t="s">
        <v>981</v>
      </c>
      <c r="B44" s="24" t="s">
        <v>982</v>
      </c>
      <c r="C44" s="25" t="s">
        <v>899</v>
      </c>
      <c r="D44" s="26">
        <v>414</v>
      </c>
      <c r="E44" s="25">
        <v>13</v>
      </c>
      <c r="F44" s="25">
        <v>9</v>
      </c>
      <c r="G44" s="25">
        <v>4</v>
      </c>
      <c r="H44" s="26">
        <f>(3600/Table22[[#This Row],[CT]])*(Table22[[#This Row],[CAV]])*24</f>
        <v>38400</v>
      </c>
      <c r="I44" s="26">
        <f t="shared" si="2"/>
        <v>12800</v>
      </c>
      <c r="J44" s="27">
        <v>835</v>
      </c>
    </row>
    <row r="45" spans="1:10" ht="15" hidden="1">
      <c r="A45" s="24" t="s">
        <v>983</v>
      </c>
      <c r="B45" s="24" t="s">
        <v>984</v>
      </c>
      <c r="C45" s="25" t="s">
        <v>899</v>
      </c>
      <c r="D45" s="26">
        <v>105</v>
      </c>
      <c r="E45" s="25">
        <v>23</v>
      </c>
      <c r="F45" s="25">
        <v>9</v>
      </c>
      <c r="G45" s="25">
        <v>6</v>
      </c>
      <c r="H45" s="26">
        <f>(3600/Table22[[#This Row],[CT]])*(Table22[[#This Row],[CAV]])*24</f>
        <v>57600</v>
      </c>
      <c r="I45" s="26">
        <f t="shared" si="2"/>
        <v>19200</v>
      </c>
      <c r="J45" s="27">
        <v>930</v>
      </c>
    </row>
    <row r="46" spans="1:10" ht="15" hidden="1">
      <c r="A46" s="24" t="s">
        <v>985</v>
      </c>
      <c r="B46" s="24" t="s">
        <v>986</v>
      </c>
      <c r="C46" s="25" t="s">
        <v>899</v>
      </c>
      <c r="D46" s="26">
        <v>105</v>
      </c>
      <c r="E46" s="25">
        <v>23</v>
      </c>
      <c r="F46" s="25">
        <v>9</v>
      </c>
      <c r="G46" s="25">
        <v>6</v>
      </c>
      <c r="H46" s="26">
        <f>(3600/Table22[[#This Row],[CT]])*(Table22[[#This Row],[CAV]])*24</f>
        <v>57600</v>
      </c>
      <c r="I46" s="26">
        <f t="shared" si="2"/>
        <v>19200</v>
      </c>
      <c r="J46" s="27">
        <v>885</v>
      </c>
    </row>
    <row r="47" spans="1:10" ht="15" hidden="1">
      <c r="A47" s="24" t="s">
        <v>987</v>
      </c>
      <c r="B47" s="24" t="s">
        <v>988</v>
      </c>
      <c r="C47" s="25" t="s">
        <v>899</v>
      </c>
      <c r="D47" s="26">
        <v>105</v>
      </c>
      <c r="E47" s="25">
        <v>23</v>
      </c>
      <c r="F47" s="25">
        <v>9</v>
      </c>
      <c r="G47" s="25">
        <v>6</v>
      </c>
      <c r="H47" s="26">
        <f>(3600/Table22[[#This Row],[CT]])*(Table22[[#This Row],[CAV]])*24</f>
        <v>57600</v>
      </c>
      <c r="I47" s="26">
        <f t="shared" si="2"/>
        <v>19200</v>
      </c>
      <c r="J47" s="27">
        <v>930</v>
      </c>
    </row>
    <row r="48" spans="1:10" ht="15" hidden="1">
      <c r="A48" s="24" t="s">
        <v>989</v>
      </c>
      <c r="B48" s="24" t="s">
        <v>990</v>
      </c>
      <c r="C48" s="25" t="s">
        <v>899</v>
      </c>
      <c r="D48" s="26">
        <v>414</v>
      </c>
      <c r="E48" s="25">
        <v>13</v>
      </c>
      <c r="F48" s="25">
        <v>10</v>
      </c>
      <c r="G48" s="25">
        <v>4</v>
      </c>
      <c r="H48" s="26">
        <f>(3600/Table22[[#This Row],[CT]])*(Table22[[#This Row],[CAV]])*24</f>
        <v>34560</v>
      </c>
      <c r="I48" s="26">
        <f t="shared" si="2"/>
        <v>11520</v>
      </c>
      <c r="J48" s="27">
        <v>1000</v>
      </c>
    </row>
    <row r="49" spans="1:10" ht="15" hidden="1">
      <c r="A49" s="24" t="s">
        <v>991</v>
      </c>
      <c r="B49" s="24" t="s">
        <v>992</v>
      </c>
      <c r="C49" s="25" t="s">
        <v>899</v>
      </c>
      <c r="D49" s="26">
        <v>105</v>
      </c>
      <c r="E49" s="25">
        <v>23</v>
      </c>
      <c r="F49" s="25">
        <v>9</v>
      </c>
      <c r="G49" s="25">
        <v>4</v>
      </c>
      <c r="H49" s="26">
        <f>(3600/Table22[[#This Row],[CT]])*(Table22[[#This Row],[CAV]])*24</f>
        <v>38400</v>
      </c>
      <c r="I49" s="26">
        <f t="shared" si="2"/>
        <v>12800</v>
      </c>
      <c r="J49" s="27">
        <v>930</v>
      </c>
    </row>
    <row r="50" spans="1:10" ht="15" hidden="1">
      <c r="A50" s="24" t="s">
        <v>993</v>
      </c>
      <c r="B50" s="24" t="s">
        <v>994</v>
      </c>
      <c r="C50" s="25" t="s">
        <v>899</v>
      </c>
      <c r="D50" s="26">
        <v>375</v>
      </c>
      <c r="E50" s="25">
        <v>13</v>
      </c>
      <c r="F50" s="25">
        <v>10</v>
      </c>
      <c r="G50" s="25">
        <v>4</v>
      </c>
      <c r="H50" s="26">
        <f>(3600/Table22[[#This Row],[CT]])*(Table22[[#This Row],[CAV]])*24</f>
        <v>34560</v>
      </c>
      <c r="I50" s="26">
        <f t="shared" si="2"/>
        <v>11520</v>
      </c>
      <c r="J50" s="27">
        <v>1600</v>
      </c>
    </row>
    <row r="51" spans="1:10" ht="15" hidden="1">
      <c r="A51" s="24" t="s">
        <v>995</v>
      </c>
      <c r="B51" s="24" t="s">
        <v>996</v>
      </c>
      <c r="C51" s="25" t="s">
        <v>899</v>
      </c>
      <c r="D51" s="26">
        <v>645</v>
      </c>
      <c r="E51" s="25">
        <v>17</v>
      </c>
      <c r="F51" s="25">
        <v>8</v>
      </c>
      <c r="G51" s="25">
        <v>2</v>
      </c>
      <c r="H51" s="26">
        <f>(3600/Table22[[#This Row],[CT]])*(Table22[[#This Row],[CAV]])*24</f>
        <v>21600</v>
      </c>
      <c r="I51" s="26">
        <f t="shared" si="2"/>
        <v>7200</v>
      </c>
      <c r="J51" s="27">
        <v>620</v>
      </c>
    </row>
    <row r="52" spans="1:10" ht="15" hidden="1">
      <c r="A52" s="24" t="s">
        <v>997</v>
      </c>
      <c r="B52" s="24" t="s">
        <v>998</v>
      </c>
      <c r="C52" s="25" t="s">
        <v>899</v>
      </c>
      <c r="D52" s="26">
        <v>1128</v>
      </c>
      <c r="E52" s="25">
        <v>8.5</v>
      </c>
      <c r="F52" s="25">
        <v>8</v>
      </c>
      <c r="G52" s="25">
        <v>2</v>
      </c>
      <c r="H52" s="26">
        <f>(3600/Table22[[#This Row],[CT]])*(Table22[[#This Row],[CAV]])*24</f>
        <v>21600</v>
      </c>
      <c r="I52" s="26">
        <f t="shared" si="2"/>
        <v>7200</v>
      </c>
      <c r="J52" s="27">
        <v>650</v>
      </c>
    </row>
    <row r="53" spans="1:10" ht="15" hidden="1">
      <c r="A53" s="24" t="s">
        <v>999</v>
      </c>
      <c r="B53" s="24" t="s">
        <v>1000</v>
      </c>
      <c r="C53" s="25" t="s">
        <v>899</v>
      </c>
      <c r="D53" s="26">
        <v>1128</v>
      </c>
      <c r="E53" s="25">
        <v>8.5</v>
      </c>
      <c r="F53" s="25">
        <v>9</v>
      </c>
      <c r="G53" s="25">
        <v>2</v>
      </c>
      <c r="H53" s="26">
        <f>(3600/Table22[[#This Row],[CT]])*(Table22[[#This Row],[CAV]])*24</f>
        <v>19200</v>
      </c>
      <c r="I53" s="26">
        <f t="shared" si="2"/>
        <v>6400</v>
      </c>
      <c r="J53" s="27">
        <v>650</v>
      </c>
    </row>
    <row r="54" spans="1:10" ht="15" hidden="1">
      <c r="A54" s="24" t="s">
        <v>1001</v>
      </c>
      <c r="B54" s="24" t="s">
        <v>1002</v>
      </c>
      <c r="C54" s="25" t="s">
        <v>899</v>
      </c>
      <c r="D54" s="26">
        <v>90</v>
      </c>
      <c r="E54" s="25">
        <v>35</v>
      </c>
      <c r="F54" s="25">
        <v>9</v>
      </c>
      <c r="G54" s="25">
        <v>2</v>
      </c>
      <c r="H54" s="26">
        <f>(3600/Table22[[#This Row],[CT]])*(Table22[[#This Row],[CAV]])*24</f>
        <v>19200</v>
      </c>
      <c r="I54" s="26">
        <f t="shared" si="2"/>
        <v>6400</v>
      </c>
      <c r="J54" s="27">
        <v>2000</v>
      </c>
    </row>
    <row r="55" spans="1:10" ht="15" hidden="1">
      <c r="A55" s="24" t="s">
        <v>1003</v>
      </c>
      <c r="B55" s="24" t="s">
        <v>1004</v>
      </c>
      <c r="C55" s="25" t="s">
        <v>899</v>
      </c>
      <c r="D55" s="26">
        <v>40</v>
      </c>
      <c r="E55" s="25">
        <v>62</v>
      </c>
      <c r="F55" s="25">
        <v>10</v>
      </c>
      <c r="G55" s="25">
        <v>2</v>
      </c>
      <c r="H55" s="26">
        <f>(3600/Table22[[#This Row],[CT]])*(Table22[[#This Row],[CAV]])*24</f>
        <v>17280</v>
      </c>
      <c r="I55" s="26">
        <f t="shared" si="2"/>
        <v>5760</v>
      </c>
      <c r="J55" s="27">
        <v>3500</v>
      </c>
    </row>
    <row r="56" spans="1:10" ht="15" hidden="1">
      <c r="A56" s="24" t="s">
        <v>1005</v>
      </c>
      <c r="B56" s="29" t="s">
        <v>1006</v>
      </c>
      <c r="C56" s="25" t="s">
        <v>899</v>
      </c>
      <c r="D56" s="26">
        <v>135</v>
      </c>
      <c r="E56" s="25">
        <v>26</v>
      </c>
      <c r="F56" s="25">
        <v>8</v>
      </c>
      <c r="G56" s="25">
        <v>4</v>
      </c>
      <c r="H56" s="26"/>
      <c r="I56" s="26"/>
      <c r="J56" s="27">
        <v>1025</v>
      </c>
    </row>
    <row r="57" spans="1:10" ht="15" hidden="1">
      <c r="A57" s="24" t="s">
        <v>1007</v>
      </c>
      <c r="B57" s="24" t="s">
        <v>1008</v>
      </c>
      <c r="C57" s="25" t="s">
        <v>899</v>
      </c>
      <c r="D57" s="26">
        <v>150</v>
      </c>
      <c r="E57" s="25">
        <v>35</v>
      </c>
      <c r="F57" s="25">
        <v>9</v>
      </c>
      <c r="G57" s="25">
        <v>2</v>
      </c>
      <c r="H57" s="26">
        <f>(3600/Table22[[#This Row],[CT]])*(Table22[[#This Row],[CAV]])*24</f>
        <v>19200</v>
      </c>
      <c r="I57" s="26">
        <f>H57/3</f>
        <v>6400</v>
      </c>
      <c r="J57" s="27">
        <v>1000</v>
      </c>
    </row>
    <row r="58" spans="1:10" ht="15" hidden="1">
      <c r="A58" s="24" t="s">
        <v>1009</v>
      </c>
      <c r="B58" s="24" t="s">
        <v>1010</v>
      </c>
      <c r="C58" s="25" t="s">
        <v>899</v>
      </c>
      <c r="D58" s="26">
        <v>231</v>
      </c>
      <c r="E58" s="25">
        <v>23.5</v>
      </c>
      <c r="F58" s="25">
        <v>8</v>
      </c>
      <c r="G58" s="25">
        <v>4</v>
      </c>
      <c r="H58" s="26"/>
      <c r="I58" s="26"/>
      <c r="J58" s="27">
        <v>800</v>
      </c>
    </row>
    <row r="59" spans="1:10" ht="15" hidden="1">
      <c r="A59" s="24" t="s">
        <v>1011</v>
      </c>
      <c r="B59" s="24" t="s">
        <v>1012</v>
      </c>
      <c r="C59" s="25" t="s">
        <v>899</v>
      </c>
      <c r="D59" s="26">
        <v>150</v>
      </c>
      <c r="E59" s="25">
        <v>35</v>
      </c>
      <c r="F59" s="25">
        <v>9</v>
      </c>
      <c r="G59" s="25">
        <v>2</v>
      </c>
      <c r="H59" s="26">
        <f>(3600/Table22[[#This Row],[CT]])*(Table22[[#This Row],[CAV]])*24</f>
        <v>19200</v>
      </c>
      <c r="I59" s="26">
        <f t="shared" ref="I59:I64" si="3">H59/3</f>
        <v>6400</v>
      </c>
      <c r="J59" s="27">
        <v>1000</v>
      </c>
    </row>
    <row r="60" spans="1:10" ht="15" hidden="1">
      <c r="A60" s="24" t="s">
        <v>1013</v>
      </c>
      <c r="B60" s="24" t="s">
        <v>1014</v>
      </c>
      <c r="C60" s="25" t="s">
        <v>899</v>
      </c>
      <c r="D60" s="26">
        <v>318</v>
      </c>
      <c r="E60" s="25">
        <v>17</v>
      </c>
      <c r="F60" s="25">
        <v>10</v>
      </c>
      <c r="G60" s="25">
        <v>4</v>
      </c>
      <c r="H60" s="26">
        <f>(3600/Table22[[#This Row],[CT]])*(Table22[[#This Row],[CAV]])*24</f>
        <v>34560</v>
      </c>
      <c r="I60" s="26">
        <f t="shared" si="3"/>
        <v>11520</v>
      </c>
      <c r="J60" s="27">
        <v>650</v>
      </c>
    </row>
    <row r="61" spans="1:10" ht="15" hidden="1">
      <c r="A61" s="24" t="s">
        <v>1015</v>
      </c>
      <c r="B61" s="24" t="s">
        <v>1016</v>
      </c>
      <c r="C61" s="25" t="s">
        <v>899</v>
      </c>
      <c r="D61" s="26">
        <v>252</v>
      </c>
      <c r="E61" s="25">
        <v>23</v>
      </c>
      <c r="F61" s="25">
        <v>8</v>
      </c>
      <c r="G61" s="25">
        <v>4</v>
      </c>
      <c r="H61" s="26">
        <f>(3600/Table22[[#This Row],[CT]])*(Table22[[#This Row],[CAV]])*24</f>
        <v>43200</v>
      </c>
      <c r="I61" s="26">
        <f t="shared" si="3"/>
        <v>14400</v>
      </c>
      <c r="J61" s="27">
        <v>3482</v>
      </c>
    </row>
    <row r="62" spans="1:10" ht="15" hidden="1">
      <c r="A62" s="24" t="s">
        <v>1017</v>
      </c>
      <c r="B62" s="24" t="s">
        <v>1016</v>
      </c>
      <c r="C62" s="25" t="s">
        <v>899</v>
      </c>
      <c r="D62" s="26">
        <v>252</v>
      </c>
      <c r="E62" s="25">
        <v>23</v>
      </c>
      <c r="F62" s="25">
        <v>8</v>
      </c>
      <c r="G62" s="25">
        <v>4</v>
      </c>
      <c r="H62" s="26">
        <f>(3600/Table22[[#This Row],[CT]])*(Table22[[#This Row],[CAV]])*24</f>
        <v>43200</v>
      </c>
      <c r="I62" s="26">
        <f t="shared" si="3"/>
        <v>14400</v>
      </c>
      <c r="J62" s="27"/>
    </row>
    <row r="63" spans="1:10" ht="15" hidden="1">
      <c r="A63" s="24" t="s">
        <v>1018</v>
      </c>
      <c r="B63" s="24" t="s">
        <v>1019</v>
      </c>
      <c r="C63" s="25" t="s">
        <v>899</v>
      </c>
      <c r="D63" s="26">
        <v>392</v>
      </c>
      <c r="E63" s="25">
        <v>23</v>
      </c>
      <c r="F63" s="25">
        <v>9</v>
      </c>
      <c r="G63" s="25">
        <v>2</v>
      </c>
      <c r="H63" s="26">
        <f>(3600/Table22[[#This Row],[CT]])*(Table22[[#This Row],[CAV]])*24</f>
        <v>19200</v>
      </c>
      <c r="I63" s="26">
        <f t="shared" si="3"/>
        <v>6400</v>
      </c>
      <c r="J63" s="27">
        <v>1300</v>
      </c>
    </row>
    <row r="64" spans="1:10" ht="15" hidden="1">
      <c r="A64" s="24" t="s">
        <v>1020</v>
      </c>
      <c r="B64" s="24" t="s">
        <v>1021</v>
      </c>
      <c r="C64" s="25" t="s">
        <v>899</v>
      </c>
      <c r="D64" s="26">
        <v>414</v>
      </c>
      <c r="E64" s="25">
        <v>13</v>
      </c>
      <c r="F64" s="25">
        <v>8</v>
      </c>
      <c r="G64" s="25">
        <v>4</v>
      </c>
      <c r="H64" s="26">
        <f>(3600/Table22[[#This Row],[CT]])*(Table22[[#This Row],[CAV]])*24</f>
        <v>43200</v>
      </c>
      <c r="I64" s="26">
        <f t="shared" si="3"/>
        <v>14400</v>
      </c>
      <c r="J64" s="27"/>
    </row>
    <row r="65" spans="1:10" ht="15" hidden="1">
      <c r="A65" s="24" t="s">
        <v>1022</v>
      </c>
      <c r="B65" s="24" t="s">
        <v>1023</v>
      </c>
      <c r="C65" s="25" t="s">
        <v>899</v>
      </c>
      <c r="D65" s="26"/>
      <c r="E65" s="25"/>
      <c r="F65" s="25"/>
      <c r="G65" s="25"/>
      <c r="H65" s="26"/>
      <c r="I65" s="26"/>
      <c r="J65" s="27"/>
    </row>
    <row r="66" spans="1:10" ht="15" hidden="1">
      <c r="A66" s="24" t="s">
        <v>1024</v>
      </c>
      <c r="B66" s="24" t="s">
        <v>1025</v>
      </c>
      <c r="C66" s="25" t="s">
        <v>899</v>
      </c>
      <c r="D66" s="26">
        <v>126</v>
      </c>
      <c r="E66" s="25">
        <v>23</v>
      </c>
      <c r="F66" s="25">
        <v>9</v>
      </c>
      <c r="G66" s="25">
        <v>2</v>
      </c>
      <c r="H66" s="26">
        <f>(3600/Table22[[#This Row],[CT]])*(Table22[[#This Row],[CAV]])*24</f>
        <v>19200</v>
      </c>
      <c r="I66" s="26">
        <f t="shared" ref="I66:I91" si="4">H66/3</f>
        <v>6400</v>
      </c>
      <c r="J66" s="27">
        <v>1500</v>
      </c>
    </row>
    <row r="67" spans="1:10" ht="15" hidden="1">
      <c r="A67" s="24" t="s">
        <v>1026</v>
      </c>
      <c r="B67" s="24" t="s">
        <v>1027</v>
      </c>
      <c r="C67" s="25" t="s">
        <v>899</v>
      </c>
      <c r="D67" s="26">
        <v>126</v>
      </c>
      <c r="E67" s="25">
        <v>20</v>
      </c>
      <c r="F67" s="25">
        <v>9</v>
      </c>
      <c r="G67" s="25">
        <v>2</v>
      </c>
      <c r="H67" s="26">
        <f>(3600/Table22[[#This Row],[CT]])*(Table22[[#This Row],[CAV]])*24</f>
        <v>19200</v>
      </c>
      <c r="I67" s="26">
        <f t="shared" si="4"/>
        <v>6400</v>
      </c>
      <c r="J67" s="27">
        <v>1000</v>
      </c>
    </row>
    <row r="68" spans="1:10" ht="15" hidden="1">
      <c r="A68" s="24" t="s">
        <v>1028</v>
      </c>
      <c r="B68" s="24" t="s">
        <v>1029</v>
      </c>
      <c r="C68" s="25" t="s">
        <v>899</v>
      </c>
      <c r="D68" s="26">
        <v>126</v>
      </c>
      <c r="E68" s="25">
        <v>23</v>
      </c>
      <c r="F68" s="25">
        <v>8</v>
      </c>
      <c r="G68" s="25">
        <v>2</v>
      </c>
      <c r="H68" s="26">
        <f>(3600/Table22[[#This Row],[CT]])*(Table22[[#This Row],[CAV]])*24</f>
        <v>21600</v>
      </c>
      <c r="I68" s="26">
        <f t="shared" si="4"/>
        <v>7200</v>
      </c>
      <c r="J68" s="27">
        <v>1075</v>
      </c>
    </row>
    <row r="69" spans="1:10" ht="15" hidden="1">
      <c r="A69" s="24" t="s">
        <v>1030</v>
      </c>
      <c r="B69" s="24" t="s">
        <v>1031</v>
      </c>
      <c r="C69" s="25" t="s">
        <v>899</v>
      </c>
      <c r="D69" s="26">
        <v>126</v>
      </c>
      <c r="E69" s="25">
        <v>20</v>
      </c>
      <c r="F69" s="25">
        <v>8</v>
      </c>
      <c r="G69" s="25">
        <v>4</v>
      </c>
      <c r="H69" s="26">
        <f>(3600/Table22[[#This Row],[CT]])*(Table22[[#This Row],[CAV]])*24</f>
        <v>43200</v>
      </c>
      <c r="I69" s="26">
        <f t="shared" si="4"/>
        <v>14400</v>
      </c>
      <c r="J69" s="27">
        <v>1000</v>
      </c>
    </row>
    <row r="70" spans="1:10" ht="15" hidden="1">
      <c r="A70" s="24" t="s">
        <v>1032</v>
      </c>
      <c r="B70" s="24" t="s">
        <v>1033</v>
      </c>
      <c r="C70" s="25" t="s">
        <v>899</v>
      </c>
      <c r="D70" s="26">
        <v>126</v>
      </c>
      <c r="E70" s="25">
        <v>20</v>
      </c>
      <c r="F70" s="25">
        <v>8</v>
      </c>
      <c r="G70" s="25">
        <v>4</v>
      </c>
      <c r="H70" s="26">
        <f>(3600/Table22[[#This Row],[CT]])*(Table22[[#This Row],[CAV]])*24</f>
        <v>43200</v>
      </c>
      <c r="I70" s="26">
        <f t="shared" si="4"/>
        <v>14400</v>
      </c>
      <c r="J70" s="27">
        <v>1050</v>
      </c>
    </row>
    <row r="71" spans="1:10" ht="15" hidden="1">
      <c r="A71" s="24" t="s">
        <v>1034</v>
      </c>
      <c r="B71" s="24" t="s">
        <v>1035</v>
      </c>
      <c r="C71" s="25" t="s">
        <v>899</v>
      </c>
      <c r="D71" s="26">
        <v>126</v>
      </c>
      <c r="E71" s="25">
        <v>20</v>
      </c>
      <c r="F71" s="25">
        <v>9</v>
      </c>
      <c r="G71" s="25">
        <v>2</v>
      </c>
      <c r="H71" s="26">
        <f>(3600/Table22[[#This Row],[CT]])*(Table22[[#This Row],[CAV]])*24</f>
        <v>19200</v>
      </c>
      <c r="I71" s="26">
        <f t="shared" si="4"/>
        <v>6400</v>
      </c>
      <c r="J71" s="27">
        <v>1300</v>
      </c>
    </row>
    <row r="72" spans="1:10" ht="15" hidden="1">
      <c r="A72" s="24" t="s">
        <v>1036</v>
      </c>
      <c r="B72" s="24" t="s">
        <v>1037</v>
      </c>
      <c r="C72" s="25" t="s">
        <v>899</v>
      </c>
      <c r="D72" s="26">
        <v>126</v>
      </c>
      <c r="E72" s="25">
        <v>20</v>
      </c>
      <c r="F72" s="25">
        <v>8</v>
      </c>
      <c r="G72" s="25"/>
      <c r="H72" s="26">
        <f>(3600/Table22[[#This Row],[CT]])*(Table22[[#This Row],[CAV]])*24</f>
        <v>0</v>
      </c>
      <c r="I72" s="26">
        <f t="shared" si="4"/>
        <v>0</v>
      </c>
      <c r="J72" s="27">
        <v>1300</v>
      </c>
    </row>
    <row r="73" spans="1:10" ht="15" hidden="1">
      <c r="A73" s="24" t="s">
        <v>1038</v>
      </c>
      <c r="B73" s="24" t="s">
        <v>1039</v>
      </c>
      <c r="C73" s="25" t="s">
        <v>899</v>
      </c>
      <c r="D73" s="26">
        <v>126</v>
      </c>
      <c r="E73" s="25">
        <v>20</v>
      </c>
      <c r="F73" s="25">
        <v>9</v>
      </c>
      <c r="G73" s="25">
        <v>2</v>
      </c>
      <c r="H73" s="26">
        <f>(3600/Table22[[#This Row],[CT]])*(Table22[[#This Row],[CAV]])*24</f>
        <v>19200</v>
      </c>
      <c r="I73" s="26">
        <f t="shared" si="4"/>
        <v>6400</v>
      </c>
      <c r="J73" s="27">
        <v>1000</v>
      </c>
    </row>
    <row r="74" spans="1:10" ht="15" hidden="1">
      <c r="A74" s="24" t="s">
        <v>1040</v>
      </c>
      <c r="B74" s="24" t="s">
        <v>1041</v>
      </c>
      <c r="C74" s="25" t="s">
        <v>899</v>
      </c>
      <c r="D74" s="26">
        <v>126</v>
      </c>
      <c r="E74" s="25">
        <v>20</v>
      </c>
      <c r="F74" s="25">
        <v>8</v>
      </c>
      <c r="G74" s="25"/>
      <c r="H74" s="26">
        <f>(3600/Table22[[#This Row],[CT]])*(Table22[[#This Row],[CAV]])*24</f>
        <v>0</v>
      </c>
      <c r="I74" s="26">
        <f t="shared" si="4"/>
        <v>0</v>
      </c>
      <c r="J74" s="27">
        <v>1300</v>
      </c>
    </row>
    <row r="75" spans="1:10" ht="15" hidden="1">
      <c r="A75" s="24" t="s">
        <v>1042</v>
      </c>
      <c r="B75" s="24" t="s">
        <v>1043</v>
      </c>
      <c r="C75" s="25" t="s">
        <v>899</v>
      </c>
      <c r="D75" s="26">
        <v>450</v>
      </c>
      <c r="E75" s="25">
        <v>13</v>
      </c>
      <c r="F75" s="25">
        <v>8</v>
      </c>
      <c r="G75" s="25"/>
      <c r="H75" s="26">
        <f>(3600/Table22[[#This Row],[CT]])*(Table22[[#This Row],[CAV]])*24</f>
        <v>0</v>
      </c>
      <c r="I75" s="26">
        <f t="shared" si="4"/>
        <v>0</v>
      </c>
      <c r="J75" s="27">
        <v>750</v>
      </c>
    </row>
    <row r="76" spans="1:10" ht="15" hidden="1">
      <c r="A76" s="24" t="s">
        <v>1044</v>
      </c>
      <c r="B76" s="24" t="s">
        <v>1045</v>
      </c>
      <c r="C76" s="25" t="s">
        <v>899</v>
      </c>
      <c r="D76" s="26">
        <v>375</v>
      </c>
      <c r="E76" s="25">
        <v>13</v>
      </c>
      <c r="F76" s="25">
        <v>8</v>
      </c>
      <c r="G76" s="25">
        <v>4</v>
      </c>
      <c r="H76" s="26">
        <f>(3600/Table22[[#This Row],[CT]])*(Table22[[#This Row],[CAV]])*24</f>
        <v>43200</v>
      </c>
      <c r="I76" s="26">
        <f t="shared" si="4"/>
        <v>14400</v>
      </c>
      <c r="J76" s="27">
        <v>900</v>
      </c>
    </row>
    <row r="77" spans="1:10" ht="15" hidden="1">
      <c r="A77" s="24" t="s">
        <v>1046</v>
      </c>
      <c r="B77" s="24" t="s">
        <v>1047</v>
      </c>
      <c r="C77" s="25" t="s">
        <v>899</v>
      </c>
      <c r="D77" s="26">
        <v>324</v>
      </c>
      <c r="E77" s="25">
        <v>13</v>
      </c>
      <c r="F77" s="25">
        <v>10</v>
      </c>
      <c r="G77" s="25">
        <v>4</v>
      </c>
      <c r="H77" s="26">
        <f>(3600/Table22[[#This Row],[CT]])*(Table22[[#This Row],[CAV]])*24</f>
        <v>34560</v>
      </c>
      <c r="I77" s="26">
        <f t="shared" si="4"/>
        <v>11520</v>
      </c>
      <c r="J77" s="27">
        <v>850</v>
      </c>
    </row>
    <row r="78" spans="1:10" ht="15" hidden="1">
      <c r="A78" s="24" t="s">
        <v>1048</v>
      </c>
      <c r="B78" s="24" t="s">
        <v>1049</v>
      </c>
      <c r="C78" s="25" t="s">
        <v>899</v>
      </c>
      <c r="D78" s="26">
        <v>450</v>
      </c>
      <c r="E78" s="25">
        <v>13</v>
      </c>
      <c r="F78" s="25">
        <v>8</v>
      </c>
      <c r="G78" s="25">
        <v>4</v>
      </c>
      <c r="H78" s="26">
        <f>(3600/Table22[[#This Row],[CT]])*(Table22[[#This Row],[CAV]])*24</f>
        <v>43200</v>
      </c>
      <c r="I78" s="26">
        <f t="shared" si="4"/>
        <v>14400</v>
      </c>
      <c r="J78" s="27">
        <v>939</v>
      </c>
    </row>
    <row r="79" spans="1:10" ht="15" hidden="1">
      <c r="A79" s="24" t="s">
        <v>1050</v>
      </c>
      <c r="B79" s="24" t="s">
        <v>1051</v>
      </c>
      <c r="C79" s="25" t="s">
        <v>899</v>
      </c>
      <c r="D79" s="26">
        <v>450</v>
      </c>
      <c r="E79" s="25">
        <v>13</v>
      </c>
      <c r="F79" s="25">
        <v>8</v>
      </c>
      <c r="G79" s="25"/>
      <c r="H79" s="26">
        <f>(3600/Table22[[#This Row],[CT]])*(Table22[[#This Row],[CAV]])*24</f>
        <v>0</v>
      </c>
      <c r="I79" s="26">
        <f t="shared" si="4"/>
        <v>0</v>
      </c>
      <c r="J79" s="27">
        <v>750</v>
      </c>
    </row>
    <row r="80" spans="1:10" ht="15" hidden="1">
      <c r="A80" s="24" t="s">
        <v>1052</v>
      </c>
      <c r="B80" s="24" t="s">
        <v>1053</v>
      </c>
      <c r="C80" s="25" t="s">
        <v>899</v>
      </c>
      <c r="D80" s="26">
        <v>450</v>
      </c>
      <c r="E80" s="25">
        <v>13</v>
      </c>
      <c r="F80" s="25">
        <v>8</v>
      </c>
      <c r="G80" s="25"/>
      <c r="H80" s="26">
        <f>(3600/Table22[[#This Row],[CT]])*(Table22[[#This Row],[CAV]])*24</f>
        <v>0</v>
      </c>
      <c r="I80" s="26">
        <f t="shared" si="4"/>
        <v>0</v>
      </c>
      <c r="J80" s="27">
        <v>1306</v>
      </c>
    </row>
    <row r="81" spans="1:10" ht="15" hidden="1">
      <c r="A81" s="24" t="s">
        <v>1054</v>
      </c>
      <c r="B81" s="24" t="s">
        <v>1055</v>
      </c>
      <c r="C81" s="25" t="s">
        <v>899</v>
      </c>
      <c r="D81" s="26">
        <v>375</v>
      </c>
      <c r="E81" s="25">
        <v>13</v>
      </c>
      <c r="F81" s="25">
        <v>8</v>
      </c>
      <c r="G81" s="25">
        <v>4</v>
      </c>
      <c r="H81" s="26">
        <f>(3600/Table22[[#This Row],[CT]])*(Table22[[#This Row],[CAV]])*24</f>
        <v>43200</v>
      </c>
      <c r="I81" s="26">
        <f t="shared" si="4"/>
        <v>14400</v>
      </c>
      <c r="J81" s="27">
        <v>1000</v>
      </c>
    </row>
    <row r="82" spans="1:10" ht="15" hidden="1">
      <c r="A82" s="24" t="s">
        <v>1056</v>
      </c>
      <c r="B82" s="24" t="s">
        <v>1057</v>
      </c>
      <c r="C82" s="25" t="s">
        <v>899</v>
      </c>
      <c r="D82" s="26">
        <v>375</v>
      </c>
      <c r="E82" s="25">
        <v>13</v>
      </c>
      <c r="F82" s="25">
        <v>8</v>
      </c>
      <c r="G82" s="25">
        <v>4</v>
      </c>
      <c r="H82" s="26">
        <f>(3600/Table22[[#This Row],[CT]])*(Table22[[#This Row],[CAV]])*24</f>
        <v>43200</v>
      </c>
      <c r="I82" s="26">
        <f t="shared" si="4"/>
        <v>14400</v>
      </c>
      <c r="J82" s="27">
        <v>800</v>
      </c>
    </row>
    <row r="83" spans="1:10" ht="15" hidden="1">
      <c r="A83" s="24" t="s">
        <v>1058</v>
      </c>
      <c r="B83" s="24" t="s">
        <v>1059</v>
      </c>
      <c r="C83" s="25" t="s">
        <v>899</v>
      </c>
      <c r="D83" s="26">
        <v>324</v>
      </c>
      <c r="E83" s="25">
        <v>13.5</v>
      </c>
      <c r="F83" s="25">
        <v>8</v>
      </c>
      <c r="G83" s="25">
        <v>4</v>
      </c>
      <c r="H83" s="26">
        <f>(3600/Table22[[#This Row],[CT]])*(Table22[[#This Row],[CAV]])*24</f>
        <v>43200</v>
      </c>
      <c r="I83" s="26">
        <f t="shared" si="4"/>
        <v>14400</v>
      </c>
      <c r="J83" s="27">
        <v>626</v>
      </c>
    </row>
    <row r="84" spans="1:10" ht="15" hidden="1">
      <c r="A84" s="24" t="s">
        <v>1060</v>
      </c>
      <c r="B84" s="24" t="s">
        <v>1061</v>
      </c>
      <c r="C84" s="25" t="s">
        <v>899</v>
      </c>
      <c r="D84" s="26">
        <v>264</v>
      </c>
      <c r="E84" s="25">
        <v>23</v>
      </c>
      <c r="F84" s="25">
        <v>9</v>
      </c>
      <c r="G84" s="25">
        <v>4</v>
      </c>
      <c r="H84" s="26">
        <f>(3600/Table22[[#This Row],[CT]])*(Table22[[#This Row],[CAV]])*24</f>
        <v>38400</v>
      </c>
      <c r="I84" s="26">
        <f t="shared" si="4"/>
        <v>12800</v>
      </c>
      <c r="J84" s="27">
        <v>745</v>
      </c>
    </row>
    <row r="85" spans="1:10" ht="15" hidden="1">
      <c r="A85" s="24" t="s">
        <v>1062</v>
      </c>
      <c r="B85" s="24" t="s">
        <v>1063</v>
      </c>
      <c r="C85" s="25" t="s">
        <v>899</v>
      </c>
      <c r="D85" s="26">
        <v>448</v>
      </c>
      <c r="E85" s="25">
        <v>17</v>
      </c>
      <c r="F85" s="25">
        <v>8</v>
      </c>
      <c r="G85" s="25">
        <v>4</v>
      </c>
      <c r="H85" s="26">
        <f>(3600/Table22[[#This Row],[CT]])*(Table22[[#This Row],[CAV]])*24</f>
        <v>43200</v>
      </c>
      <c r="I85" s="26">
        <f t="shared" si="4"/>
        <v>14400</v>
      </c>
      <c r="J85" s="27">
        <v>850</v>
      </c>
    </row>
    <row r="86" spans="1:10" ht="15" hidden="1">
      <c r="A86" s="24" t="s">
        <v>1064</v>
      </c>
      <c r="B86" s="24" t="s">
        <v>1065</v>
      </c>
      <c r="C86" s="25" t="s">
        <v>899</v>
      </c>
      <c r="D86" s="26">
        <v>448</v>
      </c>
      <c r="E86" s="25">
        <v>17</v>
      </c>
      <c r="F86" s="25">
        <v>8</v>
      </c>
      <c r="G86" s="25">
        <v>4</v>
      </c>
      <c r="H86" s="26">
        <f>(3600/Table22[[#This Row],[CT]])*(Table22[[#This Row],[CAV]])*24</f>
        <v>43200</v>
      </c>
      <c r="I86" s="26">
        <f t="shared" si="4"/>
        <v>14400</v>
      </c>
      <c r="J86" s="27">
        <v>850</v>
      </c>
    </row>
    <row r="87" spans="1:10" ht="15" hidden="1">
      <c r="A87" s="24" t="s">
        <v>1066</v>
      </c>
      <c r="B87" s="24" t="s">
        <v>1067</v>
      </c>
      <c r="C87" s="25" t="s">
        <v>899</v>
      </c>
      <c r="D87" s="26">
        <v>264</v>
      </c>
      <c r="E87" s="25">
        <v>23</v>
      </c>
      <c r="F87" s="25">
        <v>9</v>
      </c>
      <c r="G87" s="25">
        <v>4</v>
      </c>
      <c r="H87" s="26">
        <f>(3600/Table22[[#This Row],[CT]])*(Table22[[#This Row],[CAV]])*24</f>
        <v>38400</v>
      </c>
      <c r="I87" s="26">
        <f t="shared" si="4"/>
        <v>12800</v>
      </c>
      <c r="J87" s="27">
        <v>1085</v>
      </c>
    </row>
    <row r="88" spans="1:10" ht="15" hidden="1">
      <c r="A88" s="24" t="s">
        <v>1068</v>
      </c>
      <c r="B88" s="24" t="s">
        <v>1069</v>
      </c>
      <c r="C88" s="25" t="s">
        <v>899</v>
      </c>
      <c r="D88" s="26">
        <v>640</v>
      </c>
      <c r="E88" s="25">
        <v>7.5</v>
      </c>
      <c r="F88" s="25">
        <v>8</v>
      </c>
      <c r="G88" s="25">
        <v>2</v>
      </c>
      <c r="H88" s="26">
        <f>(3600/Table22[[#This Row],[CT]])*(Table22[[#This Row],[CAV]])*24</f>
        <v>21600</v>
      </c>
      <c r="I88" s="26">
        <f t="shared" si="4"/>
        <v>7200</v>
      </c>
      <c r="J88" s="27">
        <v>1025</v>
      </c>
    </row>
    <row r="89" spans="1:10" ht="15" hidden="1">
      <c r="A89" s="24" t="s">
        <v>1070</v>
      </c>
      <c r="B89" s="24" t="s">
        <v>1071</v>
      </c>
      <c r="C89" s="25" t="s">
        <v>899</v>
      </c>
      <c r="D89" s="26">
        <v>168</v>
      </c>
      <c r="E89" s="25">
        <v>27</v>
      </c>
      <c r="F89" s="25">
        <v>9</v>
      </c>
      <c r="G89" s="25">
        <v>4</v>
      </c>
      <c r="H89" s="26">
        <f>(3600/Table22[[#This Row],[CT]])*(Table22[[#This Row],[CAV]])*24</f>
        <v>38400</v>
      </c>
      <c r="I89" s="26">
        <f t="shared" si="4"/>
        <v>12800</v>
      </c>
      <c r="J89" s="27">
        <v>1025</v>
      </c>
    </row>
    <row r="90" spans="1:10" ht="15" hidden="1">
      <c r="A90" s="24" t="s">
        <v>1072</v>
      </c>
      <c r="B90" s="24" t="s">
        <v>1073</v>
      </c>
      <c r="C90" s="25" t="s">
        <v>899</v>
      </c>
      <c r="D90" s="26">
        <v>168</v>
      </c>
      <c r="E90" s="25">
        <v>27</v>
      </c>
      <c r="F90" s="25">
        <v>9</v>
      </c>
      <c r="G90" s="25">
        <v>4</v>
      </c>
      <c r="H90" s="26">
        <f>(3600/Table22[[#This Row],[CT]])*(Table22[[#This Row],[CAV]])*24</f>
        <v>38400</v>
      </c>
      <c r="I90" s="26">
        <f t="shared" si="4"/>
        <v>12800</v>
      </c>
      <c r="J90" s="27">
        <v>1000</v>
      </c>
    </row>
    <row r="91" spans="1:10" ht="15" hidden="1">
      <c r="A91" s="24" t="s">
        <v>1074</v>
      </c>
      <c r="B91" s="24" t="s">
        <v>1075</v>
      </c>
      <c r="C91" s="25" t="s">
        <v>899</v>
      </c>
      <c r="D91" s="26">
        <v>324</v>
      </c>
      <c r="E91" s="25">
        <v>13</v>
      </c>
      <c r="F91" s="25">
        <v>8</v>
      </c>
      <c r="G91" s="25">
        <v>4</v>
      </c>
      <c r="H91" s="26">
        <f>(3600/Table22[[#This Row],[CT]])*(Table22[[#This Row],[CAV]])*24</f>
        <v>43200</v>
      </c>
      <c r="I91" s="26">
        <f t="shared" si="4"/>
        <v>14400</v>
      </c>
      <c r="J91" s="27">
        <v>880</v>
      </c>
    </row>
    <row r="92" spans="1:10" ht="15" hidden="1">
      <c r="A92" s="24" t="s">
        <v>1076</v>
      </c>
      <c r="B92" s="24" t="s">
        <v>1077</v>
      </c>
      <c r="C92" s="25" t="s">
        <v>899</v>
      </c>
      <c r="D92" s="26">
        <v>315</v>
      </c>
      <c r="E92" s="25">
        <v>13</v>
      </c>
      <c r="F92" s="25">
        <v>8</v>
      </c>
      <c r="G92" s="25">
        <v>4</v>
      </c>
      <c r="H92" s="26"/>
      <c r="I92" s="26"/>
      <c r="J92" s="27">
        <v>1400</v>
      </c>
    </row>
    <row r="93" spans="1:10" ht="15" hidden="1">
      <c r="A93" s="24" t="s">
        <v>1078</v>
      </c>
      <c r="B93" s="24" t="s">
        <v>1079</v>
      </c>
      <c r="C93" s="25" t="s">
        <v>899</v>
      </c>
      <c r="D93" s="26">
        <v>522</v>
      </c>
      <c r="E93" s="25">
        <v>17.5</v>
      </c>
      <c r="F93" s="25">
        <v>8</v>
      </c>
      <c r="G93" s="25">
        <v>2</v>
      </c>
      <c r="H93" s="26">
        <f>(3600/Table22[[#This Row],[CT]])*(Table22[[#This Row],[CAV]])*24</f>
        <v>21600</v>
      </c>
      <c r="I93" s="26">
        <f t="shared" ref="I93:I123" si="5">H93/3</f>
        <v>7200</v>
      </c>
      <c r="J93" s="27">
        <v>1025</v>
      </c>
    </row>
    <row r="94" spans="1:10" ht="15" hidden="1">
      <c r="A94" s="24" t="s">
        <v>1080</v>
      </c>
      <c r="B94" s="24" t="s">
        <v>1081</v>
      </c>
      <c r="C94" s="25" t="s">
        <v>899</v>
      </c>
      <c r="D94" s="26">
        <v>280</v>
      </c>
      <c r="E94" s="25">
        <v>21.5</v>
      </c>
      <c r="F94" s="25">
        <v>9</v>
      </c>
      <c r="G94" s="25">
        <v>4</v>
      </c>
      <c r="H94" s="26">
        <f>(3600/Table22[[#This Row],[CT]])*(Table22[[#This Row],[CAV]])*24</f>
        <v>38400</v>
      </c>
      <c r="I94" s="26">
        <f t="shared" si="5"/>
        <v>12800</v>
      </c>
      <c r="J94" s="27"/>
    </row>
    <row r="95" spans="1:10" ht="15" hidden="1">
      <c r="A95" s="24" t="s">
        <v>1082</v>
      </c>
      <c r="B95" s="24" t="s">
        <v>1083</v>
      </c>
      <c r="C95" s="25" t="s">
        <v>899</v>
      </c>
      <c r="D95" s="26">
        <v>424</v>
      </c>
      <c r="E95" s="25">
        <v>21.5</v>
      </c>
      <c r="F95" s="25">
        <v>9</v>
      </c>
      <c r="G95" s="25">
        <v>4</v>
      </c>
      <c r="H95" s="26">
        <f>(3600/Table22[[#This Row],[CT]])*(Table22[[#This Row],[CAV]])*24</f>
        <v>38400</v>
      </c>
      <c r="I95" s="26">
        <f t="shared" si="5"/>
        <v>12800</v>
      </c>
      <c r="J95" s="27">
        <v>3104</v>
      </c>
    </row>
    <row r="96" spans="1:10" ht="15" hidden="1">
      <c r="A96" s="24" t="s">
        <v>1084</v>
      </c>
      <c r="B96" s="24" t="s">
        <v>1085</v>
      </c>
      <c r="C96" s="25" t="s">
        <v>899</v>
      </c>
      <c r="D96" s="26">
        <v>280</v>
      </c>
      <c r="E96" s="25">
        <v>21</v>
      </c>
      <c r="F96" s="25">
        <v>8</v>
      </c>
      <c r="G96" s="25">
        <v>4</v>
      </c>
      <c r="H96" s="26">
        <f>(3600/Table22[[#This Row],[CT]])*(Table22[[#This Row],[CAV]])*24</f>
        <v>43200</v>
      </c>
      <c r="I96" s="26">
        <f t="shared" si="5"/>
        <v>14400</v>
      </c>
      <c r="J96" s="27">
        <v>3245</v>
      </c>
    </row>
    <row r="97" spans="1:10" ht="15" hidden="1">
      <c r="A97" s="24" t="s">
        <v>1086</v>
      </c>
      <c r="B97" s="24" t="s">
        <v>1087</v>
      </c>
      <c r="C97" s="25" t="s">
        <v>899</v>
      </c>
      <c r="D97" s="26">
        <v>84</v>
      </c>
      <c r="E97" s="25">
        <v>26</v>
      </c>
      <c r="F97" s="25">
        <v>9</v>
      </c>
      <c r="G97" s="25">
        <v>2</v>
      </c>
      <c r="H97" s="26">
        <f>(3600/Table22[[#This Row],[CT]])*(Table22[[#This Row],[CAV]])*24</f>
        <v>19200</v>
      </c>
      <c r="I97" s="26">
        <f t="shared" si="5"/>
        <v>6400</v>
      </c>
      <c r="J97" s="27">
        <v>2615</v>
      </c>
    </row>
    <row r="98" spans="1:10" ht="15" hidden="1">
      <c r="A98" s="24" t="s">
        <v>1088</v>
      </c>
      <c r="B98" s="24" t="s">
        <v>1089</v>
      </c>
      <c r="C98" s="25" t="s">
        <v>899</v>
      </c>
      <c r="D98" s="26">
        <v>352</v>
      </c>
      <c r="E98" s="25">
        <v>7.5</v>
      </c>
      <c r="F98" s="25">
        <v>10</v>
      </c>
      <c r="G98" s="25"/>
      <c r="H98" s="26">
        <f>(3600/Table22[[#This Row],[CT]])*(Table22[[#This Row],[CAV]])*24</f>
        <v>0</v>
      </c>
      <c r="I98" s="26">
        <f t="shared" si="5"/>
        <v>0</v>
      </c>
      <c r="J98" s="27">
        <v>1250</v>
      </c>
    </row>
    <row r="99" spans="1:10" ht="15" hidden="1">
      <c r="A99" s="24" t="s">
        <v>1090</v>
      </c>
      <c r="B99" s="24" t="s">
        <v>1091</v>
      </c>
      <c r="C99" s="25" t="s">
        <v>899</v>
      </c>
      <c r="D99" s="26">
        <v>100</v>
      </c>
      <c r="E99" s="25">
        <v>35</v>
      </c>
      <c r="F99" s="25">
        <v>9</v>
      </c>
      <c r="G99" s="25">
        <v>2</v>
      </c>
      <c r="H99" s="26">
        <f>(3600/Table22[[#This Row],[CT]])*(Table22[[#This Row],[CAV]])*24</f>
        <v>19200</v>
      </c>
      <c r="I99" s="26">
        <f t="shared" si="5"/>
        <v>6400</v>
      </c>
      <c r="J99" s="27">
        <v>1636</v>
      </c>
    </row>
    <row r="100" spans="1:10" ht="15" hidden="1">
      <c r="A100" s="24" t="s">
        <v>1092</v>
      </c>
      <c r="B100" s="24" t="s">
        <v>1093</v>
      </c>
      <c r="C100" s="25" t="s">
        <v>899</v>
      </c>
      <c r="D100" s="26">
        <v>100</v>
      </c>
      <c r="E100" s="25">
        <v>35</v>
      </c>
      <c r="F100" s="25">
        <v>9</v>
      </c>
      <c r="G100" s="25">
        <v>2</v>
      </c>
      <c r="H100" s="26">
        <f>(3600/Table22[[#This Row],[CT]])*(Table22[[#This Row],[CAV]])*24</f>
        <v>19200</v>
      </c>
      <c r="I100" s="26">
        <f t="shared" si="5"/>
        <v>6400</v>
      </c>
      <c r="J100" s="27">
        <v>1636</v>
      </c>
    </row>
    <row r="101" spans="1:10" ht="15" hidden="1">
      <c r="A101" s="24" t="s">
        <v>1094</v>
      </c>
      <c r="B101" s="24" t="s">
        <v>1095</v>
      </c>
      <c r="C101" s="25" t="s">
        <v>899</v>
      </c>
      <c r="D101" s="26">
        <v>100</v>
      </c>
      <c r="E101" s="25">
        <v>35</v>
      </c>
      <c r="F101" s="25">
        <v>10</v>
      </c>
      <c r="G101" s="25">
        <v>2</v>
      </c>
      <c r="H101" s="26">
        <f>(3600/Table22[[#This Row],[CT]])*(Table22[[#This Row],[CAV]])*24</f>
        <v>17280</v>
      </c>
      <c r="I101" s="26">
        <f t="shared" si="5"/>
        <v>5760</v>
      </c>
      <c r="J101" s="27">
        <v>1751</v>
      </c>
    </row>
    <row r="102" spans="1:10" ht="15" hidden="1">
      <c r="A102" s="24" t="s">
        <v>1096</v>
      </c>
      <c r="B102" s="24" t="s">
        <v>1097</v>
      </c>
      <c r="C102" s="25" t="s">
        <v>899</v>
      </c>
      <c r="D102" s="26">
        <v>390</v>
      </c>
      <c r="E102" s="25">
        <v>17</v>
      </c>
      <c r="F102" s="25">
        <v>9</v>
      </c>
      <c r="G102" s="25">
        <v>4</v>
      </c>
      <c r="H102" s="26">
        <f>(3600/Table22[[#This Row],[CT]])*(Table22[[#This Row],[CAV]])*24</f>
        <v>38400</v>
      </c>
      <c r="I102" s="26">
        <f t="shared" si="5"/>
        <v>12800</v>
      </c>
      <c r="J102" s="27">
        <v>896</v>
      </c>
    </row>
    <row r="103" spans="1:10" ht="15" hidden="1">
      <c r="A103" s="24" t="s">
        <v>1098</v>
      </c>
      <c r="B103" s="24" t="s">
        <v>1099</v>
      </c>
      <c r="C103" s="25" t="s">
        <v>899</v>
      </c>
      <c r="D103" s="26">
        <v>414</v>
      </c>
      <c r="E103" s="25">
        <v>20</v>
      </c>
      <c r="F103" s="25">
        <v>9</v>
      </c>
      <c r="G103" s="25">
        <v>4</v>
      </c>
      <c r="H103" s="26">
        <f>(3600/Table22[[#This Row],[CT]])*(Table22[[#This Row],[CAV]])*24</f>
        <v>38400</v>
      </c>
      <c r="I103" s="26">
        <f t="shared" si="5"/>
        <v>12800</v>
      </c>
      <c r="J103" s="27">
        <v>1050</v>
      </c>
    </row>
    <row r="104" spans="1:10" ht="15" hidden="1">
      <c r="A104" s="24" t="s">
        <v>1100</v>
      </c>
      <c r="B104" s="24" t="s">
        <v>1101</v>
      </c>
      <c r="C104" s="25" t="s">
        <v>899</v>
      </c>
      <c r="D104" s="26">
        <v>414</v>
      </c>
      <c r="E104" s="25">
        <v>20</v>
      </c>
      <c r="F104" s="25">
        <v>9</v>
      </c>
      <c r="G104" s="25">
        <v>4</v>
      </c>
      <c r="H104" s="26">
        <f>(3600/Table22[[#This Row],[CT]])*(Table22[[#This Row],[CAV]])*24</f>
        <v>38400</v>
      </c>
      <c r="I104" s="26">
        <f t="shared" si="5"/>
        <v>12800</v>
      </c>
      <c r="J104" s="27">
        <v>1075</v>
      </c>
    </row>
    <row r="105" spans="1:10" ht="15" hidden="1">
      <c r="A105" s="24" t="s">
        <v>1102</v>
      </c>
      <c r="B105" s="24" t="s">
        <v>1103</v>
      </c>
      <c r="C105" s="25" t="s">
        <v>899</v>
      </c>
      <c r="D105" s="26">
        <v>414</v>
      </c>
      <c r="E105" s="25">
        <v>20</v>
      </c>
      <c r="F105" s="25">
        <v>9</v>
      </c>
      <c r="G105" s="25">
        <v>4</v>
      </c>
      <c r="H105" s="26">
        <f>(3600/Table22[[#This Row],[CT]])*(Table22[[#This Row],[CAV]])*24</f>
        <v>38400</v>
      </c>
      <c r="I105" s="26">
        <f t="shared" si="5"/>
        <v>12800</v>
      </c>
      <c r="J105" s="27">
        <v>1025</v>
      </c>
    </row>
    <row r="106" spans="1:10" ht="15" hidden="1">
      <c r="A106" s="24" t="s">
        <v>1104</v>
      </c>
      <c r="B106" s="24" t="s">
        <v>1105</v>
      </c>
      <c r="C106" s="25" t="s">
        <v>899</v>
      </c>
      <c r="D106" s="26">
        <v>672</v>
      </c>
      <c r="E106" s="25">
        <v>20</v>
      </c>
      <c r="F106" s="25">
        <v>9</v>
      </c>
      <c r="G106" s="25">
        <v>4</v>
      </c>
      <c r="H106" s="26">
        <f>(3600/Table22[[#This Row],[CT]])*(Table22[[#This Row],[CAV]])*24</f>
        <v>38400</v>
      </c>
      <c r="I106" s="26">
        <f t="shared" si="5"/>
        <v>12800</v>
      </c>
      <c r="J106" s="27">
        <v>607</v>
      </c>
    </row>
    <row r="107" spans="1:10" ht="15" hidden="1">
      <c r="A107" s="24" t="s">
        <v>1106</v>
      </c>
      <c r="B107" s="24" t="s">
        <v>1107</v>
      </c>
      <c r="C107" s="25" t="s">
        <v>899</v>
      </c>
      <c r="D107" s="26">
        <v>672</v>
      </c>
      <c r="E107" s="25">
        <v>7.5</v>
      </c>
      <c r="F107" s="25">
        <v>8</v>
      </c>
      <c r="G107" s="25">
        <v>4</v>
      </c>
      <c r="H107" s="26">
        <f>(3600/Table22[[#This Row],[CT]])*(Table22[[#This Row],[CAV]])*24</f>
        <v>43200</v>
      </c>
      <c r="I107" s="26">
        <f t="shared" si="5"/>
        <v>14400</v>
      </c>
      <c r="J107" s="27">
        <v>690</v>
      </c>
    </row>
    <row r="108" spans="1:10" ht="15" hidden="1">
      <c r="A108" s="24" t="s">
        <v>1108</v>
      </c>
      <c r="B108" s="24" t="s">
        <v>1109</v>
      </c>
      <c r="C108" s="25" t="s">
        <v>899</v>
      </c>
      <c r="D108" s="26">
        <v>520</v>
      </c>
      <c r="E108" s="25">
        <v>13.5</v>
      </c>
      <c r="F108" s="25">
        <v>8</v>
      </c>
      <c r="G108" s="25">
        <v>4</v>
      </c>
      <c r="H108" s="26">
        <f>(3600/Table22[[#This Row],[CT]])*(Table22[[#This Row],[CAV]])*24</f>
        <v>43200</v>
      </c>
      <c r="I108" s="26">
        <f t="shared" si="5"/>
        <v>14400</v>
      </c>
      <c r="J108" s="27">
        <v>628</v>
      </c>
    </row>
    <row r="109" spans="1:10" ht="15" hidden="1">
      <c r="A109" s="24" t="s">
        <v>1110</v>
      </c>
      <c r="B109" s="24" t="s">
        <v>1111</v>
      </c>
      <c r="C109" s="25" t="s">
        <v>899</v>
      </c>
      <c r="D109" s="26">
        <v>672</v>
      </c>
      <c r="E109" s="25">
        <v>7.5</v>
      </c>
      <c r="F109" s="25">
        <v>8</v>
      </c>
      <c r="G109" s="25">
        <v>4</v>
      </c>
      <c r="H109" s="26">
        <f>(3600/Table22[[#This Row],[CT]])*(Table22[[#This Row],[CAV]])*24</f>
        <v>43200</v>
      </c>
      <c r="I109" s="26">
        <f t="shared" si="5"/>
        <v>14400</v>
      </c>
      <c r="J109" s="27">
        <v>607</v>
      </c>
    </row>
    <row r="110" spans="1:10" ht="15" hidden="1">
      <c r="A110" s="24" t="s">
        <v>1112</v>
      </c>
      <c r="B110" s="24" t="s">
        <v>1113</v>
      </c>
      <c r="C110" s="25" t="s">
        <v>899</v>
      </c>
      <c r="D110" s="26">
        <v>672</v>
      </c>
      <c r="E110" s="25">
        <v>7.5</v>
      </c>
      <c r="F110" s="25">
        <v>8</v>
      </c>
      <c r="G110" s="25"/>
      <c r="H110" s="26">
        <f>(3600/Table22[[#This Row],[CT]])*(Table22[[#This Row],[CAV]])*24</f>
        <v>0</v>
      </c>
      <c r="I110" s="26">
        <f t="shared" si="5"/>
        <v>0</v>
      </c>
      <c r="J110" s="27">
        <v>1200</v>
      </c>
    </row>
    <row r="111" spans="1:10" ht="15" hidden="1">
      <c r="A111" s="24" t="s">
        <v>1114</v>
      </c>
      <c r="B111" s="24" t="s">
        <v>1115</v>
      </c>
      <c r="C111" s="25" t="s">
        <v>899</v>
      </c>
      <c r="D111" s="26">
        <v>98</v>
      </c>
      <c r="E111" s="25">
        <v>38</v>
      </c>
      <c r="F111" s="25">
        <v>10</v>
      </c>
      <c r="G111" s="25"/>
      <c r="H111" s="26">
        <f>(3600/Table22[[#This Row],[CT]])*(Table22[[#This Row],[CAV]])*24</f>
        <v>0</v>
      </c>
      <c r="I111" s="26">
        <f t="shared" si="5"/>
        <v>0</v>
      </c>
      <c r="J111" s="27">
        <v>1600</v>
      </c>
    </row>
    <row r="112" spans="1:10" ht="15" hidden="1">
      <c r="A112" s="24" t="s">
        <v>1116</v>
      </c>
      <c r="B112" s="24" t="s">
        <v>1117</v>
      </c>
      <c r="C112" s="25" t="s">
        <v>899</v>
      </c>
      <c r="D112" s="26">
        <v>640</v>
      </c>
      <c r="E112" s="25">
        <v>7.5</v>
      </c>
      <c r="F112" s="25">
        <v>9</v>
      </c>
      <c r="G112" s="25">
        <v>4</v>
      </c>
      <c r="H112" s="26">
        <f>(3600/Table22[[#This Row],[CT]])*(Table22[[#This Row],[CAV]])*24</f>
        <v>38400</v>
      </c>
      <c r="I112" s="26">
        <f t="shared" si="5"/>
        <v>12800</v>
      </c>
      <c r="J112" s="27">
        <v>550</v>
      </c>
    </row>
    <row r="113" spans="1:10" ht="15" hidden="1">
      <c r="A113" s="24" t="s">
        <v>1118</v>
      </c>
      <c r="B113" s="24" t="s">
        <v>1119</v>
      </c>
      <c r="C113" s="25" t="s">
        <v>899</v>
      </c>
      <c r="D113" s="26">
        <v>672</v>
      </c>
      <c r="E113" s="25">
        <v>7.5</v>
      </c>
      <c r="F113" s="25">
        <v>8</v>
      </c>
      <c r="G113" s="25">
        <v>4</v>
      </c>
      <c r="H113" s="26">
        <f>(3600/Table22[[#This Row],[CT]])*(Table22[[#This Row],[CAV]])*24</f>
        <v>43200</v>
      </c>
      <c r="I113" s="26">
        <f t="shared" si="5"/>
        <v>14400</v>
      </c>
      <c r="J113" s="27">
        <v>550</v>
      </c>
    </row>
    <row r="114" spans="1:10" ht="15" hidden="1">
      <c r="A114" s="24" t="s">
        <v>1120</v>
      </c>
      <c r="B114" s="24" t="s">
        <v>1121</v>
      </c>
      <c r="C114" s="25" t="s">
        <v>899</v>
      </c>
      <c r="D114" s="26">
        <v>640</v>
      </c>
      <c r="E114" s="25">
        <v>7.5</v>
      </c>
      <c r="F114" s="25">
        <v>8</v>
      </c>
      <c r="G114" s="25"/>
      <c r="H114" s="26">
        <f>(3600/Table22[[#This Row],[CT]])*(Table22[[#This Row],[CAV]])*24</f>
        <v>0</v>
      </c>
      <c r="I114" s="26">
        <f t="shared" si="5"/>
        <v>0</v>
      </c>
      <c r="J114" s="27">
        <v>1200</v>
      </c>
    </row>
    <row r="115" spans="1:10" ht="15" hidden="1">
      <c r="A115" s="24" t="s">
        <v>1122</v>
      </c>
      <c r="B115" s="24" t="s">
        <v>1123</v>
      </c>
      <c r="C115" s="25" t="s">
        <v>899</v>
      </c>
      <c r="D115" s="26">
        <v>640</v>
      </c>
      <c r="E115" s="25">
        <v>7.5</v>
      </c>
      <c r="F115" s="25">
        <v>8</v>
      </c>
      <c r="G115" s="25">
        <v>4</v>
      </c>
      <c r="H115" s="26">
        <f>(3600/Table22[[#This Row],[CT]])*(Table22[[#This Row],[CAV]])*24</f>
        <v>43200</v>
      </c>
      <c r="I115" s="26">
        <f t="shared" si="5"/>
        <v>14400</v>
      </c>
      <c r="J115" s="27">
        <v>700</v>
      </c>
    </row>
    <row r="116" spans="1:10" ht="15" hidden="1">
      <c r="A116" s="24" t="s">
        <v>1124</v>
      </c>
      <c r="B116" s="24" t="s">
        <v>1125</v>
      </c>
      <c r="C116" s="25" t="s">
        <v>899</v>
      </c>
      <c r="D116" s="26">
        <v>640</v>
      </c>
      <c r="E116" s="25">
        <v>7.5</v>
      </c>
      <c r="F116" s="25">
        <v>9</v>
      </c>
      <c r="G116" s="25">
        <v>4</v>
      </c>
      <c r="H116" s="26">
        <f>(3600/Table22[[#This Row],[CT]])*(Table22[[#This Row],[CAV]])*24</f>
        <v>38400</v>
      </c>
      <c r="I116" s="26">
        <f t="shared" si="5"/>
        <v>12800</v>
      </c>
      <c r="J116" s="27">
        <v>550</v>
      </c>
    </row>
    <row r="117" spans="1:10" ht="15" hidden="1">
      <c r="A117" s="24" t="s">
        <v>1126</v>
      </c>
      <c r="B117" s="24" t="s">
        <v>1127</v>
      </c>
      <c r="C117" s="25" t="s">
        <v>899</v>
      </c>
      <c r="D117" s="26">
        <v>672</v>
      </c>
      <c r="E117" s="25">
        <v>7.5</v>
      </c>
      <c r="F117" s="25">
        <v>8</v>
      </c>
      <c r="G117" s="25">
        <v>4</v>
      </c>
      <c r="H117" s="26">
        <f>(3600/Table22[[#This Row],[CT]])*(Table22[[#This Row],[CAV]])*24</f>
        <v>43200</v>
      </c>
      <c r="I117" s="26">
        <f t="shared" si="5"/>
        <v>14400</v>
      </c>
      <c r="J117" s="27">
        <v>550</v>
      </c>
    </row>
    <row r="118" spans="1:10" ht="15" hidden="1">
      <c r="A118" s="24" t="s">
        <v>1128</v>
      </c>
      <c r="B118" s="24" t="s">
        <v>1129</v>
      </c>
      <c r="C118" s="25" t="s">
        <v>899</v>
      </c>
      <c r="D118" s="26">
        <v>672</v>
      </c>
      <c r="E118" s="25">
        <v>7.5</v>
      </c>
      <c r="F118" s="25">
        <v>8</v>
      </c>
      <c r="G118" s="25">
        <v>4</v>
      </c>
      <c r="H118" s="26">
        <f>(3600/Table22[[#This Row],[CT]])*(Table22[[#This Row],[CAV]])*24</f>
        <v>43200</v>
      </c>
      <c r="I118" s="26">
        <f t="shared" si="5"/>
        <v>14400</v>
      </c>
      <c r="J118" s="27">
        <v>1150</v>
      </c>
    </row>
    <row r="119" spans="1:10" ht="15" hidden="1">
      <c r="A119" s="24" t="s">
        <v>1130</v>
      </c>
      <c r="B119" s="24" t="s">
        <v>1131</v>
      </c>
      <c r="C119" s="25" t="s">
        <v>899</v>
      </c>
      <c r="D119" s="26">
        <v>640</v>
      </c>
      <c r="E119" s="25">
        <v>7.5</v>
      </c>
      <c r="F119" s="25">
        <v>8</v>
      </c>
      <c r="G119" s="25">
        <v>2</v>
      </c>
      <c r="H119" s="26">
        <f>(3600/Table22[[#This Row],[CT]])*(Table22[[#This Row],[CAV]])*24</f>
        <v>21600</v>
      </c>
      <c r="I119" s="26">
        <f t="shared" si="5"/>
        <v>7200</v>
      </c>
      <c r="J119" s="27">
        <v>607</v>
      </c>
    </row>
    <row r="120" spans="1:10" ht="15" hidden="1">
      <c r="A120" s="24" t="s">
        <v>1132</v>
      </c>
      <c r="B120" s="24" t="s">
        <v>1133</v>
      </c>
      <c r="C120" s="25" t="s">
        <v>899</v>
      </c>
      <c r="D120" s="26">
        <v>495</v>
      </c>
      <c r="E120" s="25">
        <v>13</v>
      </c>
      <c r="F120" s="25">
        <v>9</v>
      </c>
      <c r="G120" s="25">
        <v>2</v>
      </c>
      <c r="H120" s="26">
        <f>(3600/Table22[[#This Row],[CT]])*(Table22[[#This Row],[CAV]])*24</f>
        <v>19200</v>
      </c>
      <c r="I120" s="26">
        <f t="shared" si="5"/>
        <v>6400</v>
      </c>
      <c r="J120" s="27">
        <v>882</v>
      </c>
    </row>
    <row r="121" spans="1:10" ht="15" hidden="1">
      <c r="A121" s="24" t="s">
        <v>1134</v>
      </c>
      <c r="B121" s="24" t="s">
        <v>1135</v>
      </c>
      <c r="C121" s="25" t="s">
        <v>899</v>
      </c>
      <c r="D121" s="26">
        <v>640</v>
      </c>
      <c r="E121" s="25">
        <v>7.5</v>
      </c>
      <c r="F121" s="25">
        <v>9</v>
      </c>
      <c r="G121" s="25">
        <v>4</v>
      </c>
      <c r="H121" s="26">
        <f>(3600/Table22[[#This Row],[CT]])*(Table22[[#This Row],[CAV]])*24</f>
        <v>38400</v>
      </c>
      <c r="I121" s="26">
        <f t="shared" si="5"/>
        <v>12800</v>
      </c>
      <c r="J121" s="27">
        <v>550</v>
      </c>
    </row>
    <row r="122" spans="1:10" ht="15" hidden="1">
      <c r="A122" s="24" t="s">
        <v>1136</v>
      </c>
      <c r="B122" s="24" t="s">
        <v>1137</v>
      </c>
      <c r="C122" s="25" t="s">
        <v>899</v>
      </c>
      <c r="D122" s="26">
        <v>672</v>
      </c>
      <c r="E122" s="25">
        <v>7.5</v>
      </c>
      <c r="F122" s="25">
        <v>8</v>
      </c>
      <c r="G122" s="25">
        <v>4</v>
      </c>
      <c r="H122" s="26">
        <f>(3600/Table22[[#This Row],[CT]])*(Table22[[#This Row],[CAV]])*24</f>
        <v>43200</v>
      </c>
      <c r="I122" s="26">
        <f t="shared" si="5"/>
        <v>14400</v>
      </c>
      <c r="J122" s="27">
        <v>550</v>
      </c>
    </row>
    <row r="123" spans="1:10" ht="15" hidden="1">
      <c r="A123" s="24" t="s">
        <v>1138</v>
      </c>
      <c r="B123" s="24" t="s">
        <v>1139</v>
      </c>
      <c r="C123" s="25" t="s">
        <v>899</v>
      </c>
      <c r="D123" s="26">
        <v>52</v>
      </c>
      <c r="E123" s="25">
        <v>50.5</v>
      </c>
      <c r="F123" s="25">
        <v>8</v>
      </c>
      <c r="G123" s="25">
        <v>2</v>
      </c>
      <c r="H123" s="26">
        <f>(3600/Table22[[#This Row],[CT]])*(Table22[[#This Row],[CAV]])*24</f>
        <v>21600</v>
      </c>
      <c r="I123" s="26">
        <f t="shared" si="5"/>
        <v>7200</v>
      </c>
      <c r="J123" s="27">
        <v>2916</v>
      </c>
    </row>
    <row r="124" spans="1:10" ht="15" hidden="1">
      <c r="A124" s="24" t="s">
        <v>1140</v>
      </c>
      <c r="B124" s="24" t="s">
        <v>1141</v>
      </c>
      <c r="C124" s="25" t="s">
        <v>899</v>
      </c>
      <c r="D124" s="26">
        <v>52</v>
      </c>
      <c r="E124" s="25">
        <v>50.5</v>
      </c>
      <c r="F124" s="25">
        <v>9</v>
      </c>
      <c r="G124" s="25">
        <v>2</v>
      </c>
      <c r="H124" s="26"/>
      <c r="I124" s="26"/>
      <c r="J124" s="27">
        <v>2916</v>
      </c>
    </row>
    <row r="125" spans="1:10" ht="15" hidden="1">
      <c r="A125" s="24" t="s">
        <v>1142</v>
      </c>
      <c r="B125" s="24" t="s">
        <v>1143</v>
      </c>
      <c r="C125" s="25" t="s">
        <v>899</v>
      </c>
      <c r="D125" s="26">
        <v>80</v>
      </c>
      <c r="E125" s="25">
        <v>26</v>
      </c>
      <c r="F125" s="25">
        <v>10</v>
      </c>
      <c r="G125" s="25">
        <v>4</v>
      </c>
      <c r="H125" s="26">
        <f>(3600/Table22[[#This Row],[CT]])*(Table22[[#This Row],[CAV]])*24</f>
        <v>34560</v>
      </c>
      <c r="I125" s="26">
        <f t="shared" ref="I125:I188" si="6">H125/3</f>
        <v>11520</v>
      </c>
      <c r="J125" s="27">
        <v>1400</v>
      </c>
    </row>
    <row r="126" spans="1:10" ht="15" hidden="1">
      <c r="A126" s="24" t="s">
        <v>1144</v>
      </c>
      <c r="B126" s="24" t="s">
        <v>1145</v>
      </c>
      <c r="C126" s="25" t="s">
        <v>899</v>
      </c>
      <c r="D126" s="26">
        <v>80</v>
      </c>
      <c r="E126" s="25">
        <v>26</v>
      </c>
      <c r="F126" s="25">
        <v>10</v>
      </c>
      <c r="G126" s="25">
        <v>4</v>
      </c>
      <c r="H126" s="26">
        <f>(3600/Table22[[#This Row],[CT]])*(Table22[[#This Row],[CAV]])*24</f>
        <v>34560</v>
      </c>
      <c r="I126" s="26">
        <f t="shared" si="6"/>
        <v>11520</v>
      </c>
      <c r="J126" s="27">
        <v>1450</v>
      </c>
    </row>
    <row r="127" spans="1:10" ht="15" hidden="1">
      <c r="A127" s="24" t="s">
        <v>1146</v>
      </c>
      <c r="B127" s="24" t="s">
        <v>1147</v>
      </c>
      <c r="C127" s="25" t="s">
        <v>899</v>
      </c>
      <c r="D127" s="26">
        <v>80</v>
      </c>
      <c r="E127" s="25">
        <v>26</v>
      </c>
      <c r="F127" s="25">
        <v>9</v>
      </c>
      <c r="G127" s="25">
        <v>4</v>
      </c>
      <c r="H127" s="26">
        <f>(3600/Table22[[#This Row],[CT]])*(Table22[[#This Row],[CAV]])*24</f>
        <v>38400</v>
      </c>
      <c r="I127" s="26">
        <f t="shared" si="6"/>
        <v>12800</v>
      </c>
      <c r="J127" s="27">
        <v>1400</v>
      </c>
    </row>
    <row r="128" spans="1:10" ht="15" hidden="1">
      <c r="A128" s="24" t="s">
        <v>1148</v>
      </c>
      <c r="B128" s="24" t="s">
        <v>1149</v>
      </c>
      <c r="C128" s="25" t="s">
        <v>899</v>
      </c>
      <c r="D128" s="26">
        <v>80</v>
      </c>
      <c r="E128" s="25">
        <v>26</v>
      </c>
      <c r="F128" s="25">
        <v>9</v>
      </c>
      <c r="G128" s="25">
        <v>4</v>
      </c>
      <c r="H128" s="26">
        <f>(3600/Table22[[#This Row],[CT]])*(Table22[[#This Row],[CAV]])*24</f>
        <v>38400</v>
      </c>
      <c r="I128" s="26">
        <f t="shared" si="6"/>
        <v>12800</v>
      </c>
      <c r="J128" s="27">
        <v>1325</v>
      </c>
    </row>
    <row r="129" spans="1:10" ht="15" hidden="1">
      <c r="A129" s="24" t="s">
        <v>1150</v>
      </c>
      <c r="B129" s="24" t="s">
        <v>1151</v>
      </c>
      <c r="C129" s="25" t="s">
        <v>899</v>
      </c>
      <c r="D129" s="26">
        <v>56</v>
      </c>
      <c r="E129" s="25">
        <v>50</v>
      </c>
      <c r="F129" s="25">
        <v>9</v>
      </c>
      <c r="G129" s="25"/>
      <c r="H129" s="26">
        <f>(3600/Table22[[#This Row],[CT]])*(Table22[[#This Row],[CAV]])*24</f>
        <v>0</v>
      </c>
      <c r="I129" s="26">
        <f t="shared" si="6"/>
        <v>0</v>
      </c>
      <c r="J129" s="27">
        <v>3645</v>
      </c>
    </row>
    <row r="130" spans="1:10" ht="15" hidden="1">
      <c r="A130" s="24" t="s">
        <v>1152</v>
      </c>
      <c r="B130" s="24" t="s">
        <v>1153</v>
      </c>
      <c r="C130" s="25" t="s">
        <v>899</v>
      </c>
      <c r="D130" s="26">
        <v>131</v>
      </c>
      <c r="E130" s="25">
        <v>35</v>
      </c>
      <c r="F130" s="25">
        <v>9</v>
      </c>
      <c r="G130" s="25">
        <v>4</v>
      </c>
      <c r="H130" s="26">
        <f>(3600/Table22[[#This Row],[CT]])*(Table22[[#This Row],[CAV]])*24</f>
        <v>38400</v>
      </c>
      <c r="I130" s="26">
        <f t="shared" si="6"/>
        <v>12800</v>
      </c>
      <c r="J130" s="27">
        <v>1000</v>
      </c>
    </row>
    <row r="131" spans="1:10" ht="15" hidden="1">
      <c r="A131" s="24" t="s">
        <v>1154</v>
      </c>
      <c r="B131" s="24" t="s">
        <v>1155</v>
      </c>
      <c r="C131" s="25" t="s">
        <v>899</v>
      </c>
      <c r="D131" s="26">
        <v>700</v>
      </c>
      <c r="E131" s="25">
        <v>13</v>
      </c>
      <c r="F131" s="25">
        <v>8</v>
      </c>
      <c r="G131" s="25"/>
      <c r="H131" s="26">
        <f>(3600/Table22[[#This Row],[CT]])*(Table22[[#This Row],[CAV]])*24</f>
        <v>0</v>
      </c>
      <c r="I131" s="26">
        <f t="shared" si="6"/>
        <v>0</v>
      </c>
      <c r="J131" s="27">
        <v>395</v>
      </c>
    </row>
    <row r="132" spans="1:10" ht="15" hidden="1">
      <c r="A132" s="24" t="s">
        <v>1156</v>
      </c>
      <c r="B132" s="24" t="s">
        <v>1157</v>
      </c>
      <c r="C132" s="25" t="s">
        <v>899</v>
      </c>
      <c r="D132" s="26">
        <v>840</v>
      </c>
      <c r="E132" s="25">
        <v>13</v>
      </c>
      <c r="F132" s="25">
        <v>8</v>
      </c>
      <c r="G132" s="25">
        <v>4</v>
      </c>
      <c r="H132" s="26">
        <f>(3600/Table22[[#This Row],[CT]])*(Table22[[#This Row],[CAV]])*24</f>
        <v>43200</v>
      </c>
      <c r="I132" s="26">
        <f t="shared" si="6"/>
        <v>14400</v>
      </c>
      <c r="J132" s="27">
        <v>700</v>
      </c>
    </row>
    <row r="133" spans="1:10" ht="15" hidden="1">
      <c r="A133" s="24" t="s">
        <v>1158</v>
      </c>
      <c r="B133" s="24" t="s">
        <v>1159</v>
      </c>
      <c r="C133" s="25" t="s">
        <v>899</v>
      </c>
      <c r="D133" s="26">
        <v>198</v>
      </c>
      <c r="E133" s="25">
        <v>23.5</v>
      </c>
      <c r="F133" s="25">
        <v>9</v>
      </c>
      <c r="G133" s="25">
        <v>4</v>
      </c>
      <c r="H133" s="26">
        <f>(3600/Table22[[#This Row],[CT]])*(Table22[[#This Row],[CAV]])*24</f>
        <v>38400</v>
      </c>
      <c r="I133" s="26">
        <f t="shared" si="6"/>
        <v>12800</v>
      </c>
      <c r="J133" s="27">
        <v>1100</v>
      </c>
    </row>
    <row r="134" spans="1:10" ht="15" hidden="1">
      <c r="A134" s="24" t="s">
        <v>1160</v>
      </c>
      <c r="B134" s="24" t="s">
        <v>1161</v>
      </c>
      <c r="C134" s="25" t="s">
        <v>899</v>
      </c>
      <c r="D134" s="26">
        <v>198</v>
      </c>
      <c r="E134" s="25">
        <v>23.5</v>
      </c>
      <c r="F134" s="25">
        <v>8</v>
      </c>
      <c r="G134" s="25">
        <v>4</v>
      </c>
      <c r="H134" s="26">
        <f>(3600/Table22[[#This Row],[CT]])*(Table22[[#This Row],[CAV]])*24</f>
        <v>43200</v>
      </c>
      <c r="I134" s="26">
        <f t="shared" si="6"/>
        <v>14400</v>
      </c>
      <c r="J134" s="27">
        <v>1075</v>
      </c>
    </row>
    <row r="135" spans="1:10" ht="15" hidden="1">
      <c r="A135" s="24" t="s">
        <v>1162</v>
      </c>
      <c r="B135" s="24" t="s">
        <v>1163</v>
      </c>
      <c r="C135" s="25" t="s">
        <v>899</v>
      </c>
      <c r="D135" s="26">
        <v>198</v>
      </c>
      <c r="E135" s="25">
        <v>23</v>
      </c>
      <c r="F135" s="25">
        <v>8</v>
      </c>
      <c r="G135" s="25">
        <v>4</v>
      </c>
      <c r="H135" s="26">
        <f>(3600/Table22[[#This Row],[CT]])*(Table22[[#This Row],[CAV]])*24</f>
        <v>43200</v>
      </c>
      <c r="I135" s="26">
        <f t="shared" si="6"/>
        <v>14400</v>
      </c>
      <c r="J135" s="27"/>
    </row>
    <row r="136" spans="1:10" ht="15" hidden="1">
      <c r="A136" s="24" t="s">
        <v>1164</v>
      </c>
      <c r="B136" s="24" t="s">
        <v>1165</v>
      </c>
      <c r="C136" s="25" t="s">
        <v>899</v>
      </c>
      <c r="D136" s="26">
        <v>198</v>
      </c>
      <c r="E136" s="25">
        <v>23.5</v>
      </c>
      <c r="F136" s="25">
        <v>8</v>
      </c>
      <c r="G136" s="25">
        <v>4</v>
      </c>
      <c r="H136" s="26">
        <f>(3600/Table22[[#This Row],[CT]])*(Table22[[#This Row],[CAV]])*24</f>
        <v>43200</v>
      </c>
      <c r="I136" s="26">
        <f t="shared" si="6"/>
        <v>14400</v>
      </c>
      <c r="J136" s="27">
        <v>1100</v>
      </c>
    </row>
    <row r="137" spans="1:10" ht="15" hidden="1">
      <c r="A137" s="24" t="s">
        <v>267</v>
      </c>
      <c r="B137" s="24" t="s">
        <v>1166</v>
      </c>
      <c r="C137" s="25" t="s">
        <v>899</v>
      </c>
      <c r="D137" s="26">
        <v>198</v>
      </c>
      <c r="E137" s="25">
        <v>23.5</v>
      </c>
      <c r="F137" s="25">
        <v>8</v>
      </c>
      <c r="G137" s="25">
        <v>4</v>
      </c>
      <c r="H137" s="26">
        <f>(3600/Table22[[#This Row],[CT]])*(Table22[[#This Row],[CAV]])*24</f>
        <v>43200</v>
      </c>
      <c r="I137" s="26">
        <f t="shared" si="6"/>
        <v>14400</v>
      </c>
      <c r="J137" s="27">
        <v>1100</v>
      </c>
    </row>
    <row r="138" spans="1:10" ht="15" hidden="1">
      <c r="A138" s="24" t="s">
        <v>1167</v>
      </c>
      <c r="B138" s="24" t="s">
        <v>1168</v>
      </c>
      <c r="C138" s="25" t="s">
        <v>899</v>
      </c>
      <c r="D138" s="26">
        <v>198</v>
      </c>
      <c r="E138" s="25">
        <v>23.5</v>
      </c>
      <c r="F138" s="25">
        <v>8</v>
      </c>
      <c r="G138" s="25">
        <v>4</v>
      </c>
      <c r="H138" s="26">
        <f>(3600/Table22[[#This Row],[CT]])*(Table22[[#This Row],[CAV]])*24</f>
        <v>43200</v>
      </c>
      <c r="I138" s="26">
        <f t="shared" si="6"/>
        <v>14400</v>
      </c>
      <c r="J138" s="27">
        <v>1000</v>
      </c>
    </row>
    <row r="139" spans="1:10" ht="15" hidden="1">
      <c r="A139" s="24" t="s">
        <v>1169</v>
      </c>
      <c r="B139" s="24" t="s">
        <v>1170</v>
      </c>
      <c r="C139" s="25" t="s">
        <v>899</v>
      </c>
      <c r="D139" s="26">
        <v>198</v>
      </c>
      <c r="E139" s="25">
        <v>23.5</v>
      </c>
      <c r="F139" s="25">
        <v>8</v>
      </c>
      <c r="G139" s="25">
        <v>4</v>
      </c>
      <c r="H139" s="26">
        <f>(3600/Table22[[#This Row],[CT]])*(Table22[[#This Row],[CAV]])*24</f>
        <v>43200</v>
      </c>
      <c r="I139" s="26">
        <f t="shared" si="6"/>
        <v>14400</v>
      </c>
      <c r="J139" s="27">
        <v>1200</v>
      </c>
    </row>
    <row r="140" spans="1:10" ht="15" hidden="1">
      <c r="A140" s="24" t="s">
        <v>1171</v>
      </c>
      <c r="B140" s="24" t="s">
        <v>1172</v>
      </c>
      <c r="C140" s="25" t="s">
        <v>899</v>
      </c>
      <c r="D140" s="26">
        <v>198</v>
      </c>
      <c r="E140" s="25">
        <v>23.5</v>
      </c>
      <c r="F140" s="25">
        <v>8</v>
      </c>
      <c r="G140" s="25">
        <v>4</v>
      </c>
      <c r="H140" s="26">
        <f>(3600/Table22[[#This Row],[CT]])*(Table22[[#This Row],[CAV]])*24</f>
        <v>43200</v>
      </c>
      <c r="I140" s="26">
        <f t="shared" si="6"/>
        <v>14400</v>
      </c>
      <c r="J140" s="27">
        <v>1000</v>
      </c>
    </row>
    <row r="141" spans="1:10" ht="15" hidden="1">
      <c r="A141" s="24" t="s">
        <v>1173</v>
      </c>
      <c r="B141" s="24" t="s">
        <v>1174</v>
      </c>
      <c r="C141" s="25" t="s">
        <v>899</v>
      </c>
      <c r="D141" s="26">
        <v>198</v>
      </c>
      <c r="E141" s="25">
        <v>23</v>
      </c>
      <c r="F141" s="25">
        <v>8</v>
      </c>
      <c r="G141" s="25">
        <v>4</v>
      </c>
      <c r="H141" s="26">
        <f>(3600/Table22[[#This Row],[CT]])*(Table22[[#This Row],[CAV]])*24</f>
        <v>43200</v>
      </c>
      <c r="I141" s="26">
        <f t="shared" si="6"/>
        <v>14400</v>
      </c>
      <c r="J141" s="27">
        <v>1100</v>
      </c>
    </row>
    <row r="142" spans="1:10" ht="15" hidden="1">
      <c r="A142" s="24" t="s">
        <v>1175</v>
      </c>
      <c r="B142" s="24" t="s">
        <v>1176</v>
      </c>
      <c r="C142" s="25" t="s">
        <v>899</v>
      </c>
      <c r="D142" s="26">
        <v>198</v>
      </c>
      <c r="E142" s="25">
        <v>23.5</v>
      </c>
      <c r="F142" s="25">
        <v>8</v>
      </c>
      <c r="G142" s="25">
        <v>4</v>
      </c>
      <c r="H142" s="26">
        <f>(3600/Table22[[#This Row],[CT]])*(Table22[[#This Row],[CAV]])*24</f>
        <v>43200</v>
      </c>
      <c r="I142" s="26">
        <f t="shared" si="6"/>
        <v>14400</v>
      </c>
      <c r="J142" s="27">
        <v>1441</v>
      </c>
    </row>
    <row r="143" spans="1:10" ht="15" hidden="1">
      <c r="A143" s="24" t="s">
        <v>1177</v>
      </c>
      <c r="B143" s="24" t="s">
        <v>1178</v>
      </c>
      <c r="C143" s="25" t="s">
        <v>899</v>
      </c>
      <c r="D143" s="26">
        <v>198</v>
      </c>
      <c r="E143" s="25">
        <v>23</v>
      </c>
      <c r="F143" s="25">
        <v>8</v>
      </c>
      <c r="G143" s="25">
        <v>4</v>
      </c>
      <c r="H143" s="26">
        <f>(3600/Table22[[#This Row],[CT]])*(Table22[[#This Row],[CAV]])*24</f>
        <v>43200</v>
      </c>
      <c r="I143" s="26">
        <f t="shared" si="6"/>
        <v>14400</v>
      </c>
      <c r="J143" s="27">
        <v>1100</v>
      </c>
    </row>
    <row r="144" spans="1:10" ht="15" hidden="1">
      <c r="A144" s="24" t="s">
        <v>1179</v>
      </c>
      <c r="B144" s="24" t="s">
        <v>1180</v>
      </c>
      <c r="C144" s="25" t="s">
        <v>899</v>
      </c>
      <c r="D144" s="26">
        <v>198</v>
      </c>
      <c r="E144" s="25">
        <v>23.5</v>
      </c>
      <c r="F144" s="25">
        <v>8</v>
      </c>
      <c r="G144" s="25">
        <v>4</v>
      </c>
      <c r="H144" s="26">
        <f>(3600/Table22[[#This Row],[CT]])*(Table22[[#This Row],[CAV]])*24</f>
        <v>43200</v>
      </c>
      <c r="I144" s="26">
        <f t="shared" si="6"/>
        <v>14400</v>
      </c>
      <c r="J144" s="27">
        <v>1075</v>
      </c>
    </row>
    <row r="145" spans="1:10" ht="15" hidden="1">
      <c r="A145" s="24" t="s">
        <v>1181</v>
      </c>
      <c r="B145" s="24" t="s">
        <v>1182</v>
      </c>
      <c r="C145" s="25" t="s">
        <v>899</v>
      </c>
      <c r="D145" s="26">
        <v>198</v>
      </c>
      <c r="E145" s="25">
        <v>23.5</v>
      </c>
      <c r="F145" s="25">
        <v>8</v>
      </c>
      <c r="G145" s="25">
        <v>4</v>
      </c>
      <c r="H145" s="26">
        <f>(3600/Table22[[#This Row],[CT]])*(Table22[[#This Row],[CAV]])*24</f>
        <v>43200</v>
      </c>
      <c r="I145" s="26">
        <f t="shared" si="6"/>
        <v>14400</v>
      </c>
      <c r="J145" s="27">
        <v>1150</v>
      </c>
    </row>
    <row r="146" spans="1:10" ht="15" hidden="1">
      <c r="A146" s="24" t="s">
        <v>1183</v>
      </c>
      <c r="B146" s="24" t="s">
        <v>1184</v>
      </c>
      <c r="C146" s="25" t="s">
        <v>899</v>
      </c>
      <c r="D146" s="26">
        <v>172</v>
      </c>
      <c r="E146" s="25">
        <v>23.5</v>
      </c>
      <c r="F146" s="25">
        <v>8</v>
      </c>
      <c r="G146" s="25">
        <v>4</v>
      </c>
      <c r="H146" s="26">
        <f>(3600/Table22[[#This Row],[CT]])*(Table22[[#This Row],[CAV]])*24</f>
        <v>43200</v>
      </c>
      <c r="I146" s="26">
        <f t="shared" si="6"/>
        <v>14400</v>
      </c>
      <c r="J146" s="27">
        <v>1200</v>
      </c>
    </row>
    <row r="147" spans="1:10" ht="15" hidden="1">
      <c r="A147" s="24" t="s">
        <v>1185</v>
      </c>
      <c r="B147" s="24" t="s">
        <v>1186</v>
      </c>
      <c r="C147" s="25" t="s">
        <v>899</v>
      </c>
      <c r="D147" s="26">
        <v>198</v>
      </c>
      <c r="E147" s="25">
        <v>23.5</v>
      </c>
      <c r="F147" s="25">
        <v>8</v>
      </c>
      <c r="G147" s="25">
        <v>4</v>
      </c>
      <c r="H147" s="26">
        <f>(3600/Table22[[#This Row],[CT]])*(Table22[[#This Row],[CAV]])*24</f>
        <v>43200</v>
      </c>
      <c r="I147" s="26">
        <f t="shared" si="6"/>
        <v>14400</v>
      </c>
      <c r="J147" s="27">
        <v>1326</v>
      </c>
    </row>
    <row r="148" spans="1:10" ht="15" hidden="1">
      <c r="A148" s="24" t="s">
        <v>1187</v>
      </c>
      <c r="B148" s="24" t="s">
        <v>1188</v>
      </c>
      <c r="C148" s="25" t="s">
        <v>899</v>
      </c>
      <c r="D148" s="26">
        <v>198</v>
      </c>
      <c r="E148" s="25">
        <v>23</v>
      </c>
      <c r="F148" s="25">
        <v>8</v>
      </c>
      <c r="G148" s="25">
        <v>4</v>
      </c>
      <c r="H148" s="26">
        <f>(3600/Table22[[#This Row],[CT]])*(Table22[[#This Row],[CAV]])*24</f>
        <v>43200</v>
      </c>
      <c r="I148" s="26">
        <f t="shared" si="6"/>
        <v>14400</v>
      </c>
      <c r="J148" s="27">
        <v>1000</v>
      </c>
    </row>
    <row r="149" spans="1:10" ht="15" hidden="1">
      <c r="A149" s="24" t="s">
        <v>1189</v>
      </c>
      <c r="B149" s="24" t="s">
        <v>1190</v>
      </c>
      <c r="C149" s="25" t="s">
        <v>899</v>
      </c>
      <c r="D149" s="26">
        <v>198</v>
      </c>
      <c r="E149" s="25">
        <v>23</v>
      </c>
      <c r="F149" s="25">
        <v>8</v>
      </c>
      <c r="G149" s="25">
        <v>4</v>
      </c>
      <c r="H149" s="26">
        <f>(3600/Table22[[#This Row],[CT]])*(Table22[[#This Row],[CAV]])*24</f>
        <v>43200</v>
      </c>
      <c r="I149" s="26">
        <f t="shared" si="6"/>
        <v>14400</v>
      </c>
      <c r="J149" s="27">
        <v>1300</v>
      </c>
    </row>
    <row r="150" spans="1:10" ht="15" hidden="1">
      <c r="A150" s="24" t="s">
        <v>1191</v>
      </c>
      <c r="B150" s="24" t="s">
        <v>1192</v>
      </c>
      <c r="C150" s="25" t="s">
        <v>899</v>
      </c>
      <c r="D150" s="26">
        <v>318</v>
      </c>
      <c r="E150" s="25">
        <v>17</v>
      </c>
      <c r="F150" s="25">
        <v>8</v>
      </c>
      <c r="G150" s="25">
        <v>4</v>
      </c>
      <c r="H150" s="26">
        <f>(3600/Table22[[#This Row],[CT]])*(Table22[[#This Row],[CAV]])*24</f>
        <v>43200</v>
      </c>
      <c r="I150" s="26">
        <f t="shared" si="6"/>
        <v>14400</v>
      </c>
      <c r="J150" s="27">
        <v>650</v>
      </c>
    </row>
    <row r="151" spans="1:10" ht="15" hidden="1">
      <c r="A151" s="24" t="s">
        <v>1193</v>
      </c>
      <c r="B151" s="24" t="s">
        <v>1194</v>
      </c>
      <c r="C151" s="25" t="s">
        <v>899</v>
      </c>
      <c r="D151" s="26">
        <v>360</v>
      </c>
      <c r="E151" s="25">
        <v>13</v>
      </c>
      <c r="F151" s="25">
        <v>8</v>
      </c>
      <c r="G151" s="25"/>
      <c r="H151" s="26">
        <f>(3600/Table22[[#This Row],[CT]])*(Table22[[#This Row],[CAV]])*24</f>
        <v>0</v>
      </c>
      <c r="I151" s="26">
        <f t="shared" si="6"/>
        <v>0</v>
      </c>
      <c r="J151" s="27">
        <v>607</v>
      </c>
    </row>
    <row r="152" spans="1:10" ht="15" hidden="1">
      <c r="A152" s="24" t="s">
        <v>1195</v>
      </c>
      <c r="B152" s="24" t="s">
        <v>1196</v>
      </c>
      <c r="C152" s="25" t="s">
        <v>899</v>
      </c>
      <c r="D152" s="26">
        <v>360</v>
      </c>
      <c r="E152" s="25">
        <v>13.5</v>
      </c>
      <c r="F152" s="25">
        <v>8</v>
      </c>
      <c r="G152" s="25">
        <v>4</v>
      </c>
      <c r="H152" s="26">
        <f>(3600/Table22[[#This Row],[CT]])*(Table22[[#This Row],[CAV]])*24</f>
        <v>43200</v>
      </c>
      <c r="I152" s="26">
        <f t="shared" si="6"/>
        <v>14400</v>
      </c>
      <c r="J152" s="27">
        <v>607</v>
      </c>
    </row>
    <row r="153" spans="1:10" ht="15" hidden="1">
      <c r="A153" s="24" t="s">
        <v>1197</v>
      </c>
      <c r="B153" s="24" t="s">
        <v>1198</v>
      </c>
      <c r="C153" s="25" t="s">
        <v>899</v>
      </c>
      <c r="D153" s="26">
        <v>360</v>
      </c>
      <c r="E153" s="25">
        <v>13</v>
      </c>
      <c r="F153" s="25">
        <v>8</v>
      </c>
      <c r="G153" s="25">
        <v>2</v>
      </c>
      <c r="H153" s="26">
        <f>(3600/Table22[[#This Row],[CT]])*(Table22[[#This Row],[CAV]])*24</f>
        <v>21600</v>
      </c>
      <c r="I153" s="26">
        <f t="shared" si="6"/>
        <v>7200</v>
      </c>
      <c r="J153" s="27">
        <v>820</v>
      </c>
    </row>
    <row r="154" spans="1:10" ht="15" hidden="1">
      <c r="A154" s="24" t="s">
        <v>1199</v>
      </c>
      <c r="B154" s="24" t="s">
        <v>1200</v>
      </c>
      <c r="C154" s="25" t="s">
        <v>899</v>
      </c>
      <c r="D154" s="26">
        <v>360</v>
      </c>
      <c r="E154" s="25">
        <v>13</v>
      </c>
      <c r="F154" s="25">
        <v>8</v>
      </c>
      <c r="G154" s="25"/>
      <c r="H154" s="26">
        <f>(3600/Table22[[#This Row],[CT]])*(Table22[[#This Row],[CAV]])*24</f>
        <v>0</v>
      </c>
      <c r="I154" s="26">
        <f t="shared" si="6"/>
        <v>0</v>
      </c>
      <c r="J154" s="27">
        <v>607</v>
      </c>
    </row>
    <row r="155" spans="1:10" ht="15" hidden="1">
      <c r="A155" s="24" t="s">
        <v>1201</v>
      </c>
      <c r="B155" s="24" t="s">
        <v>1202</v>
      </c>
      <c r="C155" s="25" t="s">
        <v>899</v>
      </c>
      <c r="D155" s="26">
        <v>414</v>
      </c>
      <c r="E155" s="25">
        <v>13</v>
      </c>
      <c r="F155" s="25">
        <v>8</v>
      </c>
      <c r="G155" s="25">
        <v>4</v>
      </c>
      <c r="H155" s="26">
        <f>(3600/Table22[[#This Row],[CT]])*(Table22[[#This Row],[CAV]])*24</f>
        <v>43200</v>
      </c>
      <c r="I155" s="26">
        <f t="shared" si="6"/>
        <v>14400</v>
      </c>
      <c r="J155" s="27">
        <v>1144</v>
      </c>
    </row>
    <row r="156" spans="1:10" ht="15" hidden="1">
      <c r="A156" s="24" t="s">
        <v>1203</v>
      </c>
      <c r="B156" s="24" t="s">
        <v>1204</v>
      </c>
      <c r="C156" s="25" t="s">
        <v>899</v>
      </c>
      <c r="D156" s="26">
        <v>414</v>
      </c>
      <c r="E156" s="25">
        <v>13</v>
      </c>
      <c r="F156" s="25">
        <v>8</v>
      </c>
      <c r="G156" s="25">
        <v>4</v>
      </c>
      <c r="H156" s="26">
        <f>(3600/Table22[[#This Row],[CT]])*(Table22[[#This Row],[CAV]])*24</f>
        <v>43200</v>
      </c>
      <c r="I156" s="26">
        <f t="shared" si="6"/>
        <v>14400</v>
      </c>
      <c r="J156" s="27">
        <v>1144</v>
      </c>
    </row>
    <row r="157" spans="1:10" ht="15" hidden="1">
      <c r="A157" s="24" t="s">
        <v>1205</v>
      </c>
      <c r="B157" s="24" t="s">
        <v>1206</v>
      </c>
      <c r="C157" s="25" t="s">
        <v>899</v>
      </c>
      <c r="D157" s="26">
        <v>430</v>
      </c>
      <c r="E157" s="25">
        <v>17</v>
      </c>
      <c r="F157" s="25">
        <v>8</v>
      </c>
      <c r="G157" s="25">
        <v>2</v>
      </c>
      <c r="H157" s="26">
        <f>(3600/Table22[[#This Row],[CT]])*(Table22[[#This Row],[CAV]])*24</f>
        <v>21600</v>
      </c>
      <c r="I157" s="26">
        <f t="shared" si="6"/>
        <v>7200</v>
      </c>
      <c r="J157" s="27">
        <v>1475</v>
      </c>
    </row>
    <row r="158" spans="1:10" ht="15" hidden="1">
      <c r="A158" s="24" t="s">
        <v>1207</v>
      </c>
      <c r="B158" s="24" t="s">
        <v>1208</v>
      </c>
      <c r="C158" s="25" t="s">
        <v>899</v>
      </c>
      <c r="D158" s="26">
        <v>40</v>
      </c>
      <c r="E158" s="25">
        <v>62</v>
      </c>
      <c r="F158" s="25">
        <v>9</v>
      </c>
      <c r="G158" s="25">
        <v>2</v>
      </c>
      <c r="H158" s="26">
        <f>(3600/Table22[[#This Row],[CT]])*(Table22[[#This Row],[CAV]])*24</f>
        <v>19200</v>
      </c>
      <c r="I158" s="26">
        <f t="shared" si="6"/>
        <v>6400</v>
      </c>
      <c r="J158" s="27">
        <v>2928</v>
      </c>
    </row>
    <row r="159" spans="1:10" ht="15" hidden="1">
      <c r="A159" s="24" t="s">
        <v>1209</v>
      </c>
      <c r="B159" s="24" t="s">
        <v>1210</v>
      </c>
      <c r="C159" s="25" t="s">
        <v>899</v>
      </c>
      <c r="D159" s="26">
        <v>65</v>
      </c>
      <c r="E159" s="25">
        <v>38</v>
      </c>
      <c r="F159" s="25">
        <v>8</v>
      </c>
      <c r="G159" s="25"/>
      <c r="H159" s="26">
        <f>(3600/Table22[[#This Row],[CT]])*(Table22[[#This Row],[CAV]])*24</f>
        <v>0</v>
      </c>
      <c r="I159" s="26">
        <f t="shared" si="6"/>
        <v>0</v>
      </c>
      <c r="J159" s="27">
        <v>2000</v>
      </c>
    </row>
    <row r="160" spans="1:10" ht="15" hidden="1">
      <c r="A160" s="24" t="s">
        <v>1211</v>
      </c>
      <c r="B160" s="24" t="s">
        <v>1212</v>
      </c>
      <c r="C160" s="25" t="s">
        <v>899</v>
      </c>
      <c r="D160" s="26">
        <v>414</v>
      </c>
      <c r="E160" s="25">
        <v>13</v>
      </c>
      <c r="F160" s="25">
        <v>8</v>
      </c>
      <c r="G160" s="25"/>
      <c r="H160" s="26">
        <f>(3600/Table22[[#This Row],[CT]])*(Table22[[#This Row],[CAV]])*24</f>
        <v>0</v>
      </c>
      <c r="I160" s="26">
        <f t="shared" si="6"/>
        <v>0</v>
      </c>
      <c r="J160" s="27">
        <v>1000</v>
      </c>
    </row>
    <row r="161" spans="1:10" ht="15" hidden="1">
      <c r="A161" s="24" t="s">
        <v>1213</v>
      </c>
      <c r="B161" s="24" t="s">
        <v>1214</v>
      </c>
      <c r="C161" s="25" t="s">
        <v>899</v>
      </c>
      <c r="D161" s="26">
        <v>414</v>
      </c>
      <c r="E161" s="25">
        <v>13</v>
      </c>
      <c r="F161" s="25">
        <v>8</v>
      </c>
      <c r="G161" s="25"/>
      <c r="H161" s="26">
        <f>(3600/Table22[[#This Row],[CT]])*(Table22[[#This Row],[CAV]])*24</f>
        <v>0</v>
      </c>
      <c r="I161" s="26">
        <f t="shared" si="6"/>
        <v>0</v>
      </c>
      <c r="J161" s="27"/>
    </row>
    <row r="162" spans="1:10" ht="15" hidden="1">
      <c r="A162" s="24" t="s">
        <v>1215</v>
      </c>
      <c r="B162" s="24" t="s">
        <v>1216</v>
      </c>
      <c r="C162" s="25" t="s">
        <v>899</v>
      </c>
      <c r="D162" s="26">
        <v>414</v>
      </c>
      <c r="E162" s="25">
        <v>13</v>
      </c>
      <c r="F162" s="25">
        <v>8</v>
      </c>
      <c r="G162" s="25"/>
      <c r="H162" s="26">
        <f>(3600/Table22[[#This Row],[CT]])*(Table22[[#This Row],[CAV]])*24</f>
        <v>0</v>
      </c>
      <c r="I162" s="26">
        <f t="shared" si="6"/>
        <v>0</v>
      </c>
      <c r="J162" s="27">
        <v>750</v>
      </c>
    </row>
    <row r="163" spans="1:10" ht="15" hidden="1">
      <c r="A163" s="24" t="s">
        <v>1217</v>
      </c>
      <c r="B163" s="24" t="s">
        <v>1218</v>
      </c>
      <c r="C163" s="25" t="s">
        <v>899</v>
      </c>
      <c r="D163" s="26">
        <v>414</v>
      </c>
      <c r="E163" s="25">
        <v>13</v>
      </c>
      <c r="F163" s="25">
        <v>8</v>
      </c>
      <c r="G163" s="25">
        <v>2</v>
      </c>
      <c r="H163" s="26">
        <f>(3600/Table22[[#This Row],[CT]])*(Table22[[#This Row],[CAV]])*24</f>
        <v>21600</v>
      </c>
      <c r="I163" s="26">
        <f t="shared" si="6"/>
        <v>7200</v>
      </c>
      <c r="J163" s="27">
        <v>800</v>
      </c>
    </row>
    <row r="164" spans="1:10" ht="15" hidden="1">
      <c r="A164" s="24" t="s">
        <v>1219</v>
      </c>
      <c r="B164" s="24" t="s">
        <v>1220</v>
      </c>
      <c r="C164" s="25" t="s">
        <v>899</v>
      </c>
      <c r="D164" s="26">
        <v>450</v>
      </c>
      <c r="E164" s="25">
        <v>13.5</v>
      </c>
      <c r="F164" s="25">
        <v>8</v>
      </c>
      <c r="G164" s="25">
        <v>4</v>
      </c>
      <c r="H164" s="26">
        <f>(3600/Table22[[#This Row],[CT]])*(Table22[[#This Row],[CAV]])*24</f>
        <v>43200</v>
      </c>
      <c r="I164" s="26">
        <f t="shared" si="6"/>
        <v>14400</v>
      </c>
      <c r="J164" s="27">
        <v>850</v>
      </c>
    </row>
    <row r="165" spans="1:10" ht="15" hidden="1">
      <c r="A165" s="24" t="s">
        <v>1221</v>
      </c>
      <c r="B165" s="24" t="s">
        <v>1222</v>
      </c>
      <c r="C165" s="25" t="s">
        <v>899</v>
      </c>
      <c r="D165" s="26">
        <v>450</v>
      </c>
      <c r="E165" s="25">
        <v>13.5</v>
      </c>
      <c r="F165" s="25">
        <v>8</v>
      </c>
      <c r="G165" s="25">
        <v>4</v>
      </c>
      <c r="H165" s="26">
        <f>(3600/Table22[[#This Row],[CT]])*(Table22[[#This Row],[CAV]])*24</f>
        <v>43200</v>
      </c>
      <c r="I165" s="26">
        <f t="shared" si="6"/>
        <v>14400</v>
      </c>
      <c r="J165" s="27">
        <v>850</v>
      </c>
    </row>
    <row r="166" spans="1:10" ht="15" hidden="1">
      <c r="A166" s="24" t="s">
        <v>1223</v>
      </c>
      <c r="B166" s="24" t="s">
        <v>1224</v>
      </c>
      <c r="C166" s="25" t="s">
        <v>899</v>
      </c>
      <c r="D166" s="26">
        <v>450</v>
      </c>
      <c r="E166" s="25">
        <v>13.5</v>
      </c>
      <c r="F166" s="25">
        <v>8</v>
      </c>
      <c r="G166" s="25">
        <v>4</v>
      </c>
      <c r="H166" s="26">
        <f>(3600/Table22[[#This Row],[CT]])*(Table22[[#This Row],[CAV]])*24</f>
        <v>43200</v>
      </c>
      <c r="I166" s="26">
        <f t="shared" si="6"/>
        <v>14400</v>
      </c>
      <c r="J166" s="27">
        <v>1000</v>
      </c>
    </row>
    <row r="167" spans="1:10" ht="15" hidden="1">
      <c r="A167" s="24" t="s">
        <v>1225</v>
      </c>
      <c r="B167" s="24" t="s">
        <v>1226</v>
      </c>
      <c r="C167" s="25" t="s">
        <v>899</v>
      </c>
      <c r="D167" s="26">
        <v>450</v>
      </c>
      <c r="E167" s="25">
        <v>13</v>
      </c>
      <c r="F167" s="25">
        <v>8</v>
      </c>
      <c r="G167" s="25">
        <v>4</v>
      </c>
      <c r="H167" s="26">
        <f>(3600/Table22[[#This Row],[CT]])*(Table22[[#This Row],[CAV]])*24</f>
        <v>43200</v>
      </c>
      <c r="I167" s="26">
        <f t="shared" si="6"/>
        <v>14400</v>
      </c>
      <c r="J167" s="27">
        <v>939</v>
      </c>
    </row>
    <row r="168" spans="1:10" ht="15" hidden="1">
      <c r="A168" s="24" t="s">
        <v>1227</v>
      </c>
      <c r="B168" s="24" t="s">
        <v>1228</v>
      </c>
      <c r="C168" s="25" t="s">
        <v>899</v>
      </c>
      <c r="D168" s="26">
        <v>375</v>
      </c>
      <c r="E168" s="25">
        <v>13</v>
      </c>
      <c r="F168" s="25">
        <v>8</v>
      </c>
      <c r="G168" s="25">
        <v>4</v>
      </c>
      <c r="H168" s="26">
        <f>(3600/Table22[[#This Row],[CT]])*(Table22[[#This Row],[CAV]])*24</f>
        <v>43200</v>
      </c>
      <c r="I168" s="26">
        <f t="shared" si="6"/>
        <v>14400</v>
      </c>
      <c r="J168" s="27">
        <v>1350</v>
      </c>
    </row>
    <row r="169" spans="1:10" ht="15" hidden="1">
      <c r="A169" s="24" t="s">
        <v>1229</v>
      </c>
      <c r="B169" s="24" t="s">
        <v>1230</v>
      </c>
      <c r="C169" s="25" t="s">
        <v>899</v>
      </c>
      <c r="D169" s="26">
        <v>375</v>
      </c>
      <c r="E169" s="25">
        <v>13</v>
      </c>
      <c r="F169" s="25">
        <v>10</v>
      </c>
      <c r="G169" s="25">
        <v>4</v>
      </c>
      <c r="H169" s="26">
        <f>(3600/Table22[[#This Row],[CT]])*(Table22[[#This Row],[CAV]])*24</f>
        <v>34560</v>
      </c>
      <c r="I169" s="26">
        <f t="shared" si="6"/>
        <v>11520</v>
      </c>
      <c r="J169" s="27">
        <v>1450</v>
      </c>
    </row>
    <row r="170" spans="1:10" ht="15" hidden="1">
      <c r="A170" s="24" t="s">
        <v>1231</v>
      </c>
      <c r="B170" s="24" t="s">
        <v>1232</v>
      </c>
      <c r="C170" s="25" t="s">
        <v>899</v>
      </c>
      <c r="D170" s="26">
        <v>450</v>
      </c>
      <c r="E170" s="25">
        <v>13</v>
      </c>
      <c r="F170" s="25">
        <v>8</v>
      </c>
      <c r="G170" s="25"/>
      <c r="H170" s="26">
        <f>(3600/Table22[[#This Row],[CT]])*(Table22[[#This Row],[CAV]])*24</f>
        <v>0</v>
      </c>
      <c r="I170" s="26">
        <f t="shared" si="6"/>
        <v>0</v>
      </c>
      <c r="J170" s="27">
        <v>1200</v>
      </c>
    </row>
    <row r="171" spans="1:10" ht="15" hidden="1">
      <c r="A171" s="24" t="s">
        <v>1233</v>
      </c>
      <c r="B171" s="24" t="s">
        <v>1234</v>
      </c>
      <c r="C171" s="25" t="s">
        <v>899</v>
      </c>
      <c r="D171" s="26">
        <v>450</v>
      </c>
      <c r="E171" s="25">
        <v>13.5</v>
      </c>
      <c r="F171" s="25">
        <v>8</v>
      </c>
      <c r="G171" s="25">
        <v>3</v>
      </c>
      <c r="H171" s="26">
        <f>(3600/Table22[[#This Row],[CT]])*(Table22[[#This Row],[CAV]])*24</f>
        <v>32400</v>
      </c>
      <c r="I171" s="26">
        <f t="shared" si="6"/>
        <v>10800</v>
      </c>
      <c r="J171" s="27">
        <v>800</v>
      </c>
    </row>
    <row r="172" spans="1:10" ht="15" hidden="1">
      <c r="A172" s="24" t="s">
        <v>1235</v>
      </c>
      <c r="B172" s="24" t="s">
        <v>1236</v>
      </c>
      <c r="C172" s="25" t="s">
        <v>899</v>
      </c>
      <c r="D172" s="26">
        <v>450</v>
      </c>
      <c r="E172" s="25">
        <v>13</v>
      </c>
      <c r="F172" s="25">
        <v>8</v>
      </c>
      <c r="G172" s="25">
        <v>4</v>
      </c>
      <c r="H172" s="26">
        <f>(3600/Table22[[#This Row],[CT]])*(Table22[[#This Row],[CAV]])*24</f>
        <v>43200</v>
      </c>
      <c r="I172" s="26">
        <f t="shared" si="6"/>
        <v>14400</v>
      </c>
      <c r="J172" s="27">
        <v>1300</v>
      </c>
    </row>
    <row r="173" spans="1:10" ht="15" hidden="1">
      <c r="A173" s="24" t="s">
        <v>1237</v>
      </c>
      <c r="B173" s="24" t="s">
        <v>1238</v>
      </c>
      <c r="C173" s="25" t="s">
        <v>899</v>
      </c>
      <c r="D173" s="26">
        <v>450</v>
      </c>
      <c r="E173" s="25">
        <v>13</v>
      </c>
      <c r="F173" s="25">
        <v>8</v>
      </c>
      <c r="G173" s="25">
        <v>4</v>
      </c>
      <c r="H173" s="26">
        <f>(3600/Table22[[#This Row],[CT]])*(Table22[[#This Row],[CAV]])*24</f>
        <v>43200</v>
      </c>
      <c r="I173" s="26">
        <f t="shared" si="6"/>
        <v>14400</v>
      </c>
      <c r="J173" s="27">
        <v>1025</v>
      </c>
    </row>
    <row r="174" spans="1:10" ht="15" hidden="1">
      <c r="A174" s="24" t="s">
        <v>1239</v>
      </c>
      <c r="B174" s="24" t="s">
        <v>1240</v>
      </c>
      <c r="C174" s="25" t="s">
        <v>899</v>
      </c>
      <c r="D174" s="26">
        <v>450</v>
      </c>
      <c r="E174" s="25">
        <v>13</v>
      </c>
      <c r="F174" s="25">
        <v>8</v>
      </c>
      <c r="G174" s="25">
        <v>4</v>
      </c>
      <c r="H174" s="26">
        <f>(3600/Table22[[#This Row],[CT]])*(Table22[[#This Row],[CAV]])*24</f>
        <v>43200</v>
      </c>
      <c r="I174" s="26">
        <f t="shared" si="6"/>
        <v>14400</v>
      </c>
      <c r="J174" s="27">
        <v>750</v>
      </c>
    </row>
    <row r="175" spans="1:10" ht="15" hidden="1">
      <c r="A175" s="24" t="s">
        <v>1241</v>
      </c>
      <c r="B175" s="24" t="s">
        <v>1242</v>
      </c>
      <c r="C175" s="25" t="s">
        <v>899</v>
      </c>
      <c r="D175" s="26">
        <v>414</v>
      </c>
      <c r="E175" s="25">
        <v>20</v>
      </c>
      <c r="F175" s="25">
        <v>8</v>
      </c>
      <c r="G175" s="25"/>
      <c r="H175" s="26">
        <f>(3600/Table22[[#This Row],[CT]])*(Table22[[#This Row],[CAV]])*24</f>
        <v>0</v>
      </c>
      <c r="I175" s="26">
        <f t="shared" si="6"/>
        <v>0</v>
      </c>
      <c r="J175" s="27">
        <v>720</v>
      </c>
    </row>
    <row r="176" spans="1:10" ht="15" hidden="1">
      <c r="A176" s="24" t="s">
        <v>1243</v>
      </c>
      <c r="B176" s="24" t="s">
        <v>1244</v>
      </c>
      <c r="C176" s="25" t="s">
        <v>899</v>
      </c>
      <c r="D176" s="26">
        <v>375</v>
      </c>
      <c r="E176" s="25">
        <v>13</v>
      </c>
      <c r="F176" s="25">
        <v>8</v>
      </c>
      <c r="G176" s="25">
        <v>4</v>
      </c>
      <c r="H176" s="26">
        <f>(3600/Table22[[#This Row],[CT]])*(Table22[[#This Row],[CAV]])*24</f>
        <v>43200</v>
      </c>
      <c r="I176" s="26">
        <f t="shared" si="6"/>
        <v>14400</v>
      </c>
      <c r="J176" s="27">
        <v>800</v>
      </c>
    </row>
    <row r="177" spans="1:10" ht="15" hidden="1">
      <c r="A177" s="24" t="s">
        <v>1245</v>
      </c>
      <c r="B177" s="24" t="s">
        <v>1246</v>
      </c>
      <c r="C177" s="25" t="s">
        <v>899</v>
      </c>
      <c r="D177" s="26">
        <v>450</v>
      </c>
      <c r="E177" s="25">
        <v>13</v>
      </c>
      <c r="F177" s="25">
        <v>8</v>
      </c>
      <c r="G177" s="25">
        <v>4</v>
      </c>
      <c r="H177" s="26">
        <f>(3600/Table22[[#This Row],[CT]])*(Table22[[#This Row],[CAV]])*24</f>
        <v>43200</v>
      </c>
      <c r="I177" s="26">
        <f t="shared" si="6"/>
        <v>14400</v>
      </c>
      <c r="J177" s="27">
        <v>892</v>
      </c>
    </row>
    <row r="178" spans="1:10" ht="15" hidden="1">
      <c r="A178" s="24" t="s">
        <v>1247</v>
      </c>
      <c r="B178" s="24" t="s">
        <v>1248</v>
      </c>
      <c r="C178" s="25" t="s">
        <v>899</v>
      </c>
      <c r="D178" s="26">
        <v>450</v>
      </c>
      <c r="E178" s="25">
        <v>13</v>
      </c>
      <c r="F178" s="25">
        <v>8</v>
      </c>
      <c r="G178" s="25"/>
      <c r="H178" s="26">
        <f>(3600/Table22[[#This Row],[CT]])*(Table22[[#This Row],[CAV]])*24</f>
        <v>0</v>
      </c>
      <c r="I178" s="26">
        <f t="shared" si="6"/>
        <v>0</v>
      </c>
      <c r="J178" s="27">
        <v>750</v>
      </c>
    </row>
    <row r="179" spans="1:10" ht="15" hidden="1">
      <c r="A179" s="24" t="s">
        <v>1249</v>
      </c>
      <c r="B179" s="24" t="s">
        <v>1250</v>
      </c>
      <c r="C179" s="25" t="s">
        <v>899</v>
      </c>
      <c r="D179" s="26">
        <v>450</v>
      </c>
      <c r="E179" s="25">
        <v>13</v>
      </c>
      <c r="F179" s="25">
        <v>8</v>
      </c>
      <c r="G179" s="25"/>
      <c r="H179" s="26">
        <f>(3600/Table22[[#This Row],[CT]])*(Table22[[#This Row],[CAV]])*24</f>
        <v>0</v>
      </c>
      <c r="I179" s="26">
        <f t="shared" si="6"/>
        <v>0</v>
      </c>
      <c r="J179" s="27">
        <v>1400</v>
      </c>
    </row>
    <row r="180" spans="1:10" ht="15" hidden="1">
      <c r="A180" s="24" t="s">
        <v>1251</v>
      </c>
      <c r="B180" s="24" t="s">
        <v>1252</v>
      </c>
      <c r="C180" s="25" t="s">
        <v>899</v>
      </c>
      <c r="D180" s="26">
        <v>414</v>
      </c>
      <c r="E180" s="25">
        <v>13</v>
      </c>
      <c r="F180" s="25">
        <v>9</v>
      </c>
      <c r="G180" s="25"/>
      <c r="H180" s="26">
        <f>(3600/Table22[[#This Row],[CT]])*(Table22[[#This Row],[CAV]])*24</f>
        <v>0</v>
      </c>
      <c r="I180" s="26">
        <f t="shared" si="6"/>
        <v>0</v>
      </c>
      <c r="J180" s="27">
        <v>1250</v>
      </c>
    </row>
    <row r="181" spans="1:10" ht="15" hidden="1">
      <c r="A181" s="24" t="s">
        <v>1253</v>
      </c>
      <c r="B181" s="24" t="s">
        <v>1254</v>
      </c>
      <c r="C181" s="25" t="s">
        <v>899</v>
      </c>
      <c r="D181" s="26">
        <v>375</v>
      </c>
      <c r="E181" s="25">
        <v>13</v>
      </c>
      <c r="F181" s="25">
        <v>8</v>
      </c>
      <c r="G181" s="25">
        <v>4</v>
      </c>
      <c r="H181" s="26">
        <f>(3600/Table22[[#This Row],[CT]])*(Table22[[#This Row],[CAV]])*24</f>
        <v>43200</v>
      </c>
      <c r="I181" s="26">
        <f t="shared" si="6"/>
        <v>14400</v>
      </c>
      <c r="J181" s="27">
        <v>850</v>
      </c>
    </row>
    <row r="182" spans="1:10" ht="15" hidden="1">
      <c r="A182" s="24" t="s">
        <v>1255</v>
      </c>
      <c r="B182" s="24" t="s">
        <v>1256</v>
      </c>
      <c r="C182" s="25" t="s">
        <v>899</v>
      </c>
      <c r="D182" s="26">
        <v>450</v>
      </c>
      <c r="E182" s="25">
        <v>13</v>
      </c>
      <c r="F182" s="25">
        <v>9</v>
      </c>
      <c r="G182" s="25">
        <v>4</v>
      </c>
      <c r="H182" s="26">
        <f>(3600/Table22[[#This Row],[CT]])*(Table22[[#This Row],[CAV]])*24</f>
        <v>38400</v>
      </c>
      <c r="I182" s="26">
        <f t="shared" si="6"/>
        <v>12800</v>
      </c>
      <c r="J182" s="27">
        <v>750</v>
      </c>
    </row>
    <row r="183" spans="1:10" ht="15" hidden="1">
      <c r="A183" s="24" t="s">
        <v>1257</v>
      </c>
      <c r="B183" s="24" t="s">
        <v>1258</v>
      </c>
      <c r="C183" s="25" t="s">
        <v>899</v>
      </c>
      <c r="D183" s="26">
        <v>450</v>
      </c>
      <c r="E183" s="25">
        <v>13</v>
      </c>
      <c r="F183" s="25">
        <v>9</v>
      </c>
      <c r="G183" s="25">
        <v>4</v>
      </c>
      <c r="H183" s="26">
        <f>(3600/Table22[[#This Row],[CT]])*(Table22[[#This Row],[CAV]])*24</f>
        <v>38400</v>
      </c>
      <c r="I183" s="26">
        <f t="shared" si="6"/>
        <v>12800</v>
      </c>
      <c r="J183" s="27">
        <v>900</v>
      </c>
    </row>
    <row r="184" spans="1:10" ht="15" hidden="1">
      <c r="A184" s="24" t="s">
        <v>1259</v>
      </c>
      <c r="B184" s="24" t="s">
        <v>1260</v>
      </c>
      <c r="C184" s="25" t="s">
        <v>899</v>
      </c>
      <c r="D184" s="26">
        <v>450</v>
      </c>
      <c r="E184" s="25">
        <v>13</v>
      </c>
      <c r="F184" s="25">
        <v>10</v>
      </c>
      <c r="G184" s="25">
        <v>4</v>
      </c>
      <c r="H184" s="26">
        <f>(3600/Table22[[#This Row],[CT]])*(Table22[[#This Row],[CAV]])*24</f>
        <v>34560</v>
      </c>
      <c r="I184" s="26">
        <f t="shared" si="6"/>
        <v>11520</v>
      </c>
      <c r="J184" s="27">
        <v>880</v>
      </c>
    </row>
    <row r="185" spans="1:10" ht="15" hidden="1">
      <c r="A185" s="24" t="s">
        <v>1261</v>
      </c>
      <c r="B185" s="24" t="s">
        <v>1262</v>
      </c>
      <c r="C185" s="25" t="s">
        <v>899</v>
      </c>
      <c r="D185" s="26">
        <v>64</v>
      </c>
      <c r="E185" s="25">
        <v>44</v>
      </c>
      <c r="F185" s="25">
        <v>10</v>
      </c>
      <c r="G185" s="25">
        <v>4</v>
      </c>
      <c r="H185" s="26">
        <f>(3600/Table22[[#This Row],[CT]])*(Table22[[#This Row],[CAV]])*24</f>
        <v>34560</v>
      </c>
      <c r="I185" s="26">
        <f t="shared" si="6"/>
        <v>11520</v>
      </c>
      <c r="J185" s="27">
        <v>1700</v>
      </c>
    </row>
    <row r="186" spans="1:10" ht="15" hidden="1">
      <c r="A186" s="24" t="s">
        <v>1263</v>
      </c>
      <c r="B186" s="24" t="s">
        <v>1264</v>
      </c>
      <c r="C186" s="25" t="s">
        <v>899</v>
      </c>
      <c r="D186" s="26">
        <v>432</v>
      </c>
      <c r="E186" s="25">
        <v>23</v>
      </c>
      <c r="F186" s="25">
        <v>9</v>
      </c>
      <c r="G186" s="25">
        <v>4</v>
      </c>
      <c r="H186" s="26">
        <f>(3600/Table22[[#This Row],[CT]])*(Table22[[#This Row],[CAV]])*24</f>
        <v>38400</v>
      </c>
      <c r="I186" s="26">
        <f t="shared" si="6"/>
        <v>12800</v>
      </c>
      <c r="J186" s="27">
        <v>950</v>
      </c>
    </row>
    <row r="187" spans="1:10" ht="15" hidden="1">
      <c r="A187" s="24" t="s">
        <v>1265</v>
      </c>
      <c r="B187" s="24" t="s">
        <v>1266</v>
      </c>
      <c r="C187" s="25" t="s">
        <v>899</v>
      </c>
      <c r="D187" s="26">
        <v>648</v>
      </c>
      <c r="E187" s="25">
        <v>8.1999999999999993</v>
      </c>
      <c r="F187" s="25">
        <v>9</v>
      </c>
      <c r="G187" s="25">
        <v>4</v>
      </c>
      <c r="H187" s="26">
        <f>(3600/Table22[[#This Row],[CT]])*(Table22[[#This Row],[CAV]])*24</f>
        <v>38400</v>
      </c>
      <c r="I187" s="26">
        <f t="shared" si="6"/>
        <v>12800</v>
      </c>
      <c r="J187" s="27">
        <v>715</v>
      </c>
    </row>
    <row r="188" spans="1:10" ht="15" hidden="1">
      <c r="A188" s="24" t="s">
        <v>1267</v>
      </c>
      <c r="B188" s="24" t="s">
        <v>1268</v>
      </c>
      <c r="C188" s="25" t="s">
        <v>899</v>
      </c>
      <c r="D188" s="26">
        <v>264</v>
      </c>
      <c r="E188" s="25">
        <v>23</v>
      </c>
      <c r="F188" s="25">
        <v>9</v>
      </c>
      <c r="G188" s="25">
        <v>4</v>
      </c>
      <c r="H188" s="26">
        <f>(3600/Table22[[#This Row],[CT]])*(Table22[[#This Row],[CAV]])*24</f>
        <v>38400</v>
      </c>
      <c r="I188" s="26">
        <f t="shared" si="6"/>
        <v>12800</v>
      </c>
      <c r="J188" s="27">
        <v>1085</v>
      </c>
    </row>
    <row r="189" spans="1:10" ht="15" hidden="1">
      <c r="A189" s="24" t="s">
        <v>1269</v>
      </c>
      <c r="B189" s="24" t="s">
        <v>1270</v>
      </c>
      <c r="C189" s="25" t="s">
        <v>899</v>
      </c>
      <c r="D189" s="26">
        <v>396</v>
      </c>
      <c r="E189" s="25">
        <v>16</v>
      </c>
      <c r="F189" s="25">
        <v>9</v>
      </c>
      <c r="G189" s="25">
        <v>6</v>
      </c>
      <c r="H189" s="26">
        <f>(3600/Table22[[#This Row],[CT]])*(Table22[[#This Row],[CAV]])*24</f>
        <v>57600</v>
      </c>
      <c r="I189" s="26">
        <f t="shared" ref="I189:I190" si="7">H189/3</f>
        <v>19200</v>
      </c>
      <c r="J189" s="27">
        <v>1000</v>
      </c>
    </row>
    <row r="190" spans="1:10" ht="15" hidden="1">
      <c r="A190" s="24" t="s">
        <v>1271</v>
      </c>
      <c r="B190" s="24" t="s">
        <v>1272</v>
      </c>
      <c r="C190" s="25" t="s">
        <v>899</v>
      </c>
      <c r="D190" s="26">
        <v>396</v>
      </c>
      <c r="E190" s="25">
        <v>16</v>
      </c>
      <c r="F190" s="25">
        <v>9</v>
      </c>
      <c r="G190" s="25">
        <v>6</v>
      </c>
      <c r="H190" s="26">
        <f>(3600/Table22[[#This Row],[CT]])*(Table22[[#This Row],[CAV]])*24</f>
        <v>57600</v>
      </c>
      <c r="I190" s="26">
        <f t="shared" si="7"/>
        <v>19200</v>
      </c>
      <c r="J190" s="27">
        <v>1000</v>
      </c>
    </row>
    <row r="191" spans="1:10" ht="15" hidden="1">
      <c r="A191" s="24" t="s">
        <v>1273</v>
      </c>
      <c r="B191" s="24" t="s">
        <v>1274</v>
      </c>
      <c r="C191" s="25"/>
      <c r="D191" s="26">
        <v>320</v>
      </c>
      <c r="E191" s="25">
        <v>17</v>
      </c>
      <c r="F191" s="25">
        <v>8</v>
      </c>
      <c r="G191" s="25">
        <v>4</v>
      </c>
      <c r="H191" s="26"/>
      <c r="I191" s="26"/>
      <c r="J191" s="27">
        <v>1000</v>
      </c>
    </row>
    <row r="192" spans="1:10" ht="15" hidden="1">
      <c r="A192" s="24" t="s">
        <v>1275</v>
      </c>
      <c r="B192" s="24" t="s">
        <v>1276</v>
      </c>
      <c r="C192" s="25" t="s">
        <v>899</v>
      </c>
      <c r="D192" s="26">
        <v>336</v>
      </c>
      <c r="E192" s="25">
        <v>13</v>
      </c>
      <c r="F192" s="25">
        <v>8</v>
      </c>
      <c r="G192" s="25">
        <v>4</v>
      </c>
      <c r="H192" s="26">
        <f>(3600/Table22[[#This Row],[CT]])*(Table22[[#This Row],[CAV]])*24</f>
        <v>43200</v>
      </c>
      <c r="I192" s="26">
        <f t="shared" ref="I192:I206" si="8">H192/3</f>
        <v>14400</v>
      </c>
      <c r="J192" s="27">
        <v>791</v>
      </c>
    </row>
    <row r="193" spans="1:10" ht="15" hidden="1">
      <c r="A193" s="24" t="s">
        <v>1277</v>
      </c>
      <c r="B193" s="24" t="s">
        <v>1278</v>
      </c>
      <c r="C193" s="25" t="s">
        <v>899</v>
      </c>
      <c r="D193" s="26">
        <v>336</v>
      </c>
      <c r="E193" s="25">
        <v>13</v>
      </c>
      <c r="F193" s="25">
        <v>8</v>
      </c>
      <c r="G193" s="25">
        <v>4</v>
      </c>
      <c r="H193" s="26">
        <f>(3600/Table22[[#This Row],[CT]])*(Table22[[#This Row],[CAV]])*24</f>
        <v>43200</v>
      </c>
      <c r="I193" s="26">
        <f t="shared" si="8"/>
        <v>14400</v>
      </c>
      <c r="J193" s="27">
        <v>820</v>
      </c>
    </row>
    <row r="194" spans="1:10" ht="15">
      <c r="A194" s="24" t="s">
        <v>1279</v>
      </c>
      <c r="B194" s="24" t="s">
        <v>1280</v>
      </c>
      <c r="C194" s="25" t="s">
        <v>899</v>
      </c>
      <c r="D194" s="26">
        <v>336</v>
      </c>
      <c r="E194" s="25">
        <v>21.5</v>
      </c>
      <c r="F194" s="25">
        <v>8</v>
      </c>
      <c r="G194" s="25">
        <v>6</v>
      </c>
      <c r="H194" s="26">
        <f>(3600/Table22[[#This Row],[CT]])*(Table22[[#This Row],[CAV]])*24</f>
        <v>64800</v>
      </c>
      <c r="I194" s="26">
        <f t="shared" si="8"/>
        <v>21600</v>
      </c>
      <c r="J194" s="27">
        <v>1028</v>
      </c>
    </row>
    <row r="195" spans="1:10" ht="15" hidden="1">
      <c r="A195" s="24" t="s">
        <v>1281</v>
      </c>
      <c r="B195" s="24" t="s">
        <v>1282</v>
      </c>
      <c r="C195" s="25" t="s">
        <v>899</v>
      </c>
      <c r="D195" s="26">
        <v>200</v>
      </c>
      <c r="E195" s="25">
        <v>21.5</v>
      </c>
      <c r="F195" s="25">
        <v>8</v>
      </c>
      <c r="G195" s="25">
        <v>4</v>
      </c>
      <c r="H195" s="26">
        <f>(3600/Table22[[#This Row],[CT]])*(Table22[[#This Row],[CAV]])*24</f>
        <v>43200</v>
      </c>
      <c r="I195" s="26">
        <f t="shared" si="8"/>
        <v>14400</v>
      </c>
      <c r="J195" s="27">
        <v>1260</v>
      </c>
    </row>
    <row r="196" spans="1:10" ht="15" hidden="1">
      <c r="A196" s="24" t="s">
        <v>1283</v>
      </c>
      <c r="B196" s="24" t="s">
        <v>1284</v>
      </c>
      <c r="C196" s="25" t="s">
        <v>899</v>
      </c>
      <c r="D196" s="26">
        <v>200</v>
      </c>
      <c r="E196" s="25">
        <v>21</v>
      </c>
      <c r="F196" s="25">
        <v>8</v>
      </c>
      <c r="G196" s="25">
        <v>4</v>
      </c>
      <c r="H196" s="26">
        <f>(3600/Table22[[#This Row],[CT]])*(Table22[[#This Row],[CAV]])*24</f>
        <v>43200</v>
      </c>
      <c r="I196" s="26">
        <f t="shared" si="8"/>
        <v>14400</v>
      </c>
      <c r="J196" s="27">
        <v>1000</v>
      </c>
    </row>
    <row r="197" spans="1:10" ht="15" hidden="1">
      <c r="A197" s="24" t="s">
        <v>1285</v>
      </c>
      <c r="B197" s="24" t="s">
        <v>1286</v>
      </c>
      <c r="C197" s="25" t="s">
        <v>899</v>
      </c>
      <c r="D197" s="26"/>
      <c r="E197" s="25">
        <v>21.5</v>
      </c>
      <c r="F197" s="25">
        <v>8</v>
      </c>
      <c r="G197" s="25">
        <v>4</v>
      </c>
      <c r="H197" s="26">
        <f>(3600/Table22[[#This Row],[CT]])*(Table22[[#This Row],[CAV]])*24</f>
        <v>43200</v>
      </c>
      <c r="I197" s="26">
        <f t="shared" si="8"/>
        <v>14400</v>
      </c>
      <c r="J197" s="27">
        <v>1200</v>
      </c>
    </row>
    <row r="198" spans="1:10" ht="15" hidden="1">
      <c r="A198" s="24" t="s">
        <v>1287</v>
      </c>
      <c r="B198" s="24" t="s">
        <v>1288</v>
      </c>
      <c r="C198" s="25" t="s">
        <v>899</v>
      </c>
      <c r="D198" s="26">
        <v>200</v>
      </c>
      <c r="E198" s="25">
        <v>21.5</v>
      </c>
      <c r="F198" s="25">
        <v>8</v>
      </c>
      <c r="G198" s="25">
        <v>4</v>
      </c>
      <c r="H198" s="26">
        <f>(3600/Table22[[#This Row],[CT]])*(Table22[[#This Row],[CAV]])*24</f>
        <v>43200</v>
      </c>
      <c r="I198" s="26">
        <f t="shared" si="8"/>
        <v>14400</v>
      </c>
      <c r="J198" s="27">
        <v>969</v>
      </c>
    </row>
    <row r="199" spans="1:10" ht="15" hidden="1">
      <c r="A199" s="24" t="s">
        <v>1289</v>
      </c>
      <c r="B199" s="24" t="s">
        <v>1290</v>
      </c>
      <c r="C199" s="25" t="s">
        <v>899</v>
      </c>
      <c r="D199" s="26">
        <v>336</v>
      </c>
      <c r="E199" s="25">
        <v>13</v>
      </c>
      <c r="F199" s="25">
        <v>9</v>
      </c>
      <c r="G199" s="25">
        <v>4</v>
      </c>
      <c r="H199" s="26">
        <f>(3600/Table22[[#This Row],[CT]])*(Table22[[#This Row],[CAV]])*24</f>
        <v>38400</v>
      </c>
      <c r="I199" s="26">
        <f t="shared" si="8"/>
        <v>12800</v>
      </c>
      <c r="J199" s="27">
        <v>710</v>
      </c>
    </row>
    <row r="200" spans="1:10" ht="15" hidden="1">
      <c r="A200" s="24" t="s">
        <v>1291</v>
      </c>
      <c r="B200" s="24" t="s">
        <v>1292</v>
      </c>
      <c r="C200" s="25" t="s">
        <v>899</v>
      </c>
      <c r="D200" s="26">
        <v>336</v>
      </c>
      <c r="E200" s="25">
        <v>13</v>
      </c>
      <c r="F200" s="25">
        <v>8</v>
      </c>
      <c r="G200" s="25">
        <v>4</v>
      </c>
      <c r="H200" s="26">
        <f>(3600/Table22[[#This Row],[CT]])*(Table22[[#This Row],[CAV]])*24</f>
        <v>43200</v>
      </c>
      <c r="I200" s="26">
        <f t="shared" si="8"/>
        <v>14400</v>
      </c>
      <c r="J200" s="27">
        <v>791</v>
      </c>
    </row>
    <row r="201" spans="1:10" ht="15" hidden="1">
      <c r="A201" s="24" t="s">
        <v>1293</v>
      </c>
      <c r="B201" s="24" t="s">
        <v>1294</v>
      </c>
      <c r="C201" s="25" t="s">
        <v>899</v>
      </c>
      <c r="D201" s="26">
        <v>336</v>
      </c>
      <c r="E201" s="25">
        <v>13</v>
      </c>
      <c r="F201" s="25">
        <v>8</v>
      </c>
      <c r="G201" s="25">
        <v>4</v>
      </c>
      <c r="H201" s="26">
        <f>(3600/Table22[[#This Row],[CT]])*(Table22[[#This Row],[CAV]])*24</f>
        <v>43200</v>
      </c>
      <c r="I201" s="26">
        <f t="shared" si="8"/>
        <v>14400</v>
      </c>
      <c r="J201" s="27">
        <v>791</v>
      </c>
    </row>
    <row r="202" spans="1:10" ht="15" hidden="1">
      <c r="A202" s="24" t="s">
        <v>1295</v>
      </c>
      <c r="B202" s="24" t="s">
        <v>1296</v>
      </c>
      <c r="C202" s="25" t="s">
        <v>899</v>
      </c>
      <c r="D202" s="26">
        <v>336</v>
      </c>
      <c r="E202" s="25">
        <v>13</v>
      </c>
      <c r="F202" s="25">
        <v>8</v>
      </c>
      <c r="G202" s="25">
        <v>4</v>
      </c>
      <c r="H202" s="26">
        <f>(3600/Table22[[#This Row],[CT]])*(Table22[[#This Row],[CAV]])*24</f>
        <v>43200</v>
      </c>
      <c r="I202" s="26">
        <f t="shared" si="8"/>
        <v>14400</v>
      </c>
      <c r="J202" s="27">
        <v>820</v>
      </c>
    </row>
    <row r="203" spans="1:10" ht="15" hidden="1">
      <c r="A203" s="24" t="s">
        <v>1297</v>
      </c>
      <c r="B203" s="24" t="s">
        <v>1298</v>
      </c>
      <c r="C203" s="25" t="s">
        <v>899</v>
      </c>
      <c r="D203" s="26">
        <v>1002</v>
      </c>
      <c r="E203" s="25">
        <v>9</v>
      </c>
      <c r="F203" s="25">
        <v>9</v>
      </c>
      <c r="G203" s="25">
        <v>4</v>
      </c>
      <c r="H203" s="26">
        <f>(3600/Table22[[#This Row],[CT]])*(Table22[[#This Row],[CAV]])*24</f>
        <v>38400</v>
      </c>
      <c r="I203" s="26">
        <f t="shared" si="8"/>
        <v>12800</v>
      </c>
      <c r="J203" s="27">
        <v>958</v>
      </c>
    </row>
    <row r="204" spans="1:10" ht="15" hidden="1">
      <c r="A204" s="24" t="s">
        <v>1299</v>
      </c>
      <c r="B204" s="24" t="s">
        <v>1300</v>
      </c>
      <c r="C204" s="25" t="s">
        <v>899</v>
      </c>
      <c r="D204" s="26">
        <v>1002</v>
      </c>
      <c r="E204" s="25">
        <v>9</v>
      </c>
      <c r="F204" s="25">
        <v>9</v>
      </c>
      <c r="G204" s="25">
        <v>4</v>
      </c>
      <c r="H204" s="26">
        <f>(3600/Table22[[#This Row],[CT]])*(Table22[[#This Row],[CAV]])*24</f>
        <v>38400</v>
      </c>
      <c r="I204" s="26">
        <f t="shared" si="8"/>
        <v>12800</v>
      </c>
      <c r="J204" s="27">
        <v>954</v>
      </c>
    </row>
    <row r="205" spans="1:10" ht="15" hidden="1">
      <c r="A205" s="24" t="s">
        <v>1301</v>
      </c>
      <c r="B205" s="24" t="s">
        <v>1302</v>
      </c>
      <c r="C205" s="25" t="s">
        <v>899</v>
      </c>
      <c r="D205" s="26">
        <v>1002</v>
      </c>
      <c r="E205" s="25">
        <v>9</v>
      </c>
      <c r="F205" s="25">
        <v>9</v>
      </c>
      <c r="G205" s="25">
        <v>4</v>
      </c>
      <c r="H205" s="26">
        <f>(3600/Table22[[#This Row],[CT]])*(Table22[[#This Row],[CAV]])*24</f>
        <v>38400</v>
      </c>
      <c r="I205" s="26">
        <f t="shared" si="8"/>
        <v>12800</v>
      </c>
      <c r="J205" s="27">
        <v>892</v>
      </c>
    </row>
    <row r="206" spans="1:10" ht="15" hidden="1">
      <c r="A206" s="24" t="s">
        <v>1303</v>
      </c>
      <c r="B206" s="24" t="s">
        <v>1304</v>
      </c>
      <c r="C206" s="25" t="s">
        <v>899</v>
      </c>
      <c r="D206" s="26">
        <v>450</v>
      </c>
      <c r="E206" s="25">
        <v>17</v>
      </c>
      <c r="F206" s="25">
        <v>8</v>
      </c>
      <c r="G206" s="25">
        <v>4</v>
      </c>
      <c r="H206" s="26">
        <f>(3600/Table22[[#This Row],[CT]])*(Table22[[#This Row],[CAV]])*24</f>
        <v>43200</v>
      </c>
      <c r="I206" s="26">
        <f t="shared" si="8"/>
        <v>14400</v>
      </c>
      <c r="J206" s="27"/>
    </row>
    <row r="207" spans="1:10" ht="15" hidden="1">
      <c r="A207" s="24" t="s">
        <v>1305</v>
      </c>
      <c r="B207" s="24" t="s">
        <v>1306</v>
      </c>
      <c r="C207" s="25" t="s">
        <v>899</v>
      </c>
      <c r="D207" s="26">
        <v>414</v>
      </c>
      <c r="E207" s="25">
        <v>13</v>
      </c>
      <c r="F207" s="25">
        <v>8</v>
      </c>
      <c r="G207" s="25">
        <v>4</v>
      </c>
      <c r="H207" s="26"/>
      <c r="I207" s="26"/>
      <c r="J207" s="27">
        <v>750</v>
      </c>
    </row>
    <row r="208" spans="1:10" ht="15" hidden="1">
      <c r="A208" s="24" t="s">
        <v>1307</v>
      </c>
      <c r="B208" s="24" t="s">
        <v>1308</v>
      </c>
      <c r="C208" s="25" t="s">
        <v>899</v>
      </c>
      <c r="D208" s="26">
        <v>80</v>
      </c>
      <c r="E208" s="25">
        <v>13</v>
      </c>
      <c r="F208" s="25">
        <v>8</v>
      </c>
      <c r="G208" s="25">
        <v>2</v>
      </c>
      <c r="H208" s="26">
        <f>(3600/Table22[[#This Row],[CT]])*(Table22[[#This Row],[CAV]])*24</f>
        <v>21600</v>
      </c>
      <c r="I208" s="26">
        <f>H208/3</f>
        <v>7200</v>
      </c>
      <c r="J208" s="27">
        <v>2000</v>
      </c>
    </row>
    <row r="209" spans="1:10" ht="15" hidden="1">
      <c r="A209" s="24" t="s">
        <v>1309</v>
      </c>
      <c r="B209" s="24" t="s">
        <v>1310</v>
      </c>
      <c r="C209" s="25" t="s">
        <v>899</v>
      </c>
      <c r="D209" s="26">
        <v>148</v>
      </c>
      <c r="E209" s="25">
        <v>13</v>
      </c>
      <c r="F209" s="25">
        <v>10</v>
      </c>
      <c r="G209" s="25"/>
      <c r="H209" s="26">
        <f>(3600/Table22[[#This Row],[CT]])*(Table22[[#This Row],[CAV]])*24</f>
        <v>0</v>
      </c>
      <c r="I209" s="26">
        <f>H209/3</f>
        <v>0</v>
      </c>
      <c r="J209" s="27">
        <v>1441</v>
      </c>
    </row>
    <row r="210" spans="1:10" ht="15" hidden="1">
      <c r="A210" s="24" t="s">
        <v>1311</v>
      </c>
      <c r="B210" s="24" t="s">
        <v>1312</v>
      </c>
      <c r="C210" s="25" t="s">
        <v>899</v>
      </c>
      <c r="D210" s="26">
        <v>148</v>
      </c>
      <c r="E210" s="25">
        <v>13</v>
      </c>
      <c r="F210" s="25">
        <v>10</v>
      </c>
      <c r="G210" s="25"/>
      <c r="H210" s="26">
        <f>(3600/Table22[[#This Row],[CT]])*(Table22[[#This Row],[CAV]])*24</f>
        <v>0</v>
      </c>
      <c r="I210" s="26">
        <f>H210/3</f>
        <v>0</v>
      </c>
      <c r="J210" s="27">
        <v>1621</v>
      </c>
    </row>
    <row r="211" spans="1:10" ht="15" hidden="1">
      <c r="A211" s="24" t="s">
        <v>1313</v>
      </c>
      <c r="B211" s="24" t="s">
        <v>1314</v>
      </c>
      <c r="C211" s="25" t="s">
        <v>899</v>
      </c>
      <c r="D211" s="26">
        <v>148</v>
      </c>
      <c r="E211" s="25">
        <v>23</v>
      </c>
      <c r="F211" s="25">
        <v>8</v>
      </c>
      <c r="G211" s="25"/>
      <c r="H211" s="26">
        <f>(3600/Table22[[#This Row],[CT]])*(Table22[[#This Row],[CAV]])*24</f>
        <v>0</v>
      </c>
      <c r="I211" s="26">
        <f>H211/3</f>
        <v>0</v>
      </c>
      <c r="J211" s="27">
        <v>1696</v>
      </c>
    </row>
    <row r="212" spans="1:10" ht="15" hidden="1">
      <c r="A212" s="24" t="s">
        <v>1315</v>
      </c>
      <c r="B212" s="24" t="s">
        <v>1316</v>
      </c>
      <c r="C212" s="25"/>
      <c r="D212" s="26">
        <v>179</v>
      </c>
      <c r="E212" s="25">
        <v>23.5</v>
      </c>
      <c r="F212" s="25">
        <v>8</v>
      </c>
      <c r="G212" s="25">
        <v>4</v>
      </c>
      <c r="H212" s="26"/>
      <c r="I212" s="26"/>
      <c r="J212" s="27">
        <v>975</v>
      </c>
    </row>
    <row r="213" spans="1:10" ht="15" hidden="1">
      <c r="A213" s="24" t="s">
        <v>1317</v>
      </c>
      <c r="B213" s="24" t="s">
        <v>1318</v>
      </c>
      <c r="C213" s="25" t="s">
        <v>899</v>
      </c>
      <c r="D213" s="26">
        <v>179</v>
      </c>
      <c r="E213" s="25">
        <v>23</v>
      </c>
      <c r="F213" s="25">
        <v>8</v>
      </c>
      <c r="G213" s="25">
        <v>4</v>
      </c>
      <c r="H213" s="26">
        <f>(3600/Table22[[#This Row],[CT]])*(Table22[[#This Row],[CAV]])*24</f>
        <v>43200</v>
      </c>
      <c r="I213" s="26">
        <f t="shared" ref="I213:I225" si="9">H213/3</f>
        <v>14400</v>
      </c>
      <c r="J213" s="27">
        <v>975</v>
      </c>
    </row>
    <row r="214" spans="1:10" ht="15" hidden="1">
      <c r="A214" s="24" t="s">
        <v>1319</v>
      </c>
      <c r="B214" s="24" t="s">
        <v>1320</v>
      </c>
      <c r="C214" s="25" t="s">
        <v>899</v>
      </c>
      <c r="D214" s="26">
        <v>168</v>
      </c>
      <c r="E214" s="25">
        <v>23</v>
      </c>
      <c r="F214" s="25">
        <v>8</v>
      </c>
      <c r="G214" s="25">
        <v>4</v>
      </c>
      <c r="H214" s="26">
        <f>(3600/Table22[[#This Row],[CT]])*(Table22[[#This Row],[CAV]])*24</f>
        <v>43200</v>
      </c>
      <c r="I214" s="26">
        <f t="shared" si="9"/>
        <v>14400</v>
      </c>
      <c r="J214" s="27">
        <v>975</v>
      </c>
    </row>
    <row r="215" spans="1:10" ht="15" hidden="1">
      <c r="A215" s="24" t="s">
        <v>1321</v>
      </c>
      <c r="B215" s="24" t="s">
        <v>1322</v>
      </c>
      <c r="C215" s="25" t="s">
        <v>899</v>
      </c>
      <c r="D215" s="26" t="s">
        <v>1323</v>
      </c>
      <c r="E215" s="25">
        <v>23.5</v>
      </c>
      <c r="F215" s="25">
        <v>8</v>
      </c>
      <c r="G215" s="25">
        <v>4</v>
      </c>
      <c r="H215" s="26">
        <f>(3600/Table22[[#This Row],[CT]])*(Table22[[#This Row],[CAV]])*24</f>
        <v>43200</v>
      </c>
      <c r="I215" s="26">
        <f t="shared" si="9"/>
        <v>14400</v>
      </c>
      <c r="J215" s="27">
        <v>999</v>
      </c>
    </row>
    <row r="216" spans="1:10" ht="15" hidden="1">
      <c r="A216" s="30" t="s">
        <v>1324</v>
      </c>
      <c r="B216" s="24" t="s">
        <v>1325</v>
      </c>
      <c r="C216" s="25" t="s">
        <v>899</v>
      </c>
      <c r="D216" s="26">
        <v>324</v>
      </c>
      <c r="E216" s="25">
        <v>23</v>
      </c>
      <c r="F216" s="25">
        <v>9</v>
      </c>
      <c r="G216" s="25">
        <v>4</v>
      </c>
      <c r="H216" s="26">
        <f>(3600/Table22[[#This Row],[CT]])*(Table22[[#This Row],[CAV]])*24</f>
        <v>38400</v>
      </c>
      <c r="I216" s="26">
        <f t="shared" si="9"/>
        <v>12800</v>
      </c>
      <c r="J216" s="27" t="s">
        <v>1326</v>
      </c>
    </row>
    <row r="217" spans="1:10" ht="15" hidden="1">
      <c r="A217" s="24" t="s">
        <v>1327</v>
      </c>
      <c r="B217" s="24" t="s">
        <v>1328</v>
      </c>
      <c r="C217" s="25" t="s">
        <v>899</v>
      </c>
      <c r="D217" s="26">
        <v>360</v>
      </c>
      <c r="E217" s="25">
        <v>23.75</v>
      </c>
      <c r="F217" s="25">
        <v>9</v>
      </c>
      <c r="G217" s="25">
        <v>4</v>
      </c>
      <c r="H217" s="26">
        <f>(3600/Table22[[#This Row],[CT]])*(Table22[[#This Row],[CAV]])*24</f>
        <v>38400</v>
      </c>
      <c r="I217" s="26">
        <f t="shared" si="9"/>
        <v>12800</v>
      </c>
      <c r="J217" s="27">
        <v>1194</v>
      </c>
    </row>
    <row r="218" spans="1:10" ht="15" hidden="1">
      <c r="A218" s="24" t="s">
        <v>1329</v>
      </c>
      <c r="B218" s="24" t="s">
        <v>1330</v>
      </c>
      <c r="C218" s="25" t="s">
        <v>899</v>
      </c>
      <c r="D218" s="26">
        <v>324</v>
      </c>
      <c r="E218" s="25">
        <v>23.5</v>
      </c>
      <c r="F218" s="25">
        <v>9</v>
      </c>
      <c r="G218" s="25"/>
      <c r="H218" s="26">
        <f>(3600/Table22[[#This Row],[CT]])*(Table22[[#This Row],[CAV]])*24</f>
        <v>0</v>
      </c>
      <c r="I218" s="26">
        <f t="shared" si="9"/>
        <v>0</v>
      </c>
      <c r="J218" s="27">
        <v>1300</v>
      </c>
    </row>
    <row r="219" spans="1:10" ht="15" hidden="1">
      <c r="A219" s="24" t="s">
        <v>1331</v>
      </c>
      <c r="B219" s="24" t="s">
        <v>1332</v>
      </c>
      <c r="C219" s="25" t="s">
        <v>899</v>
      </c>
      <c r="D219" s="26">
        <v>165</v>
      </c>
      <c r="E219" s="25">
        <v>26</v>
      </c>
      <c r="F219" s="25">
        <v>9</v>
      </c>
      <c r="G219" s="25">
        <v>4</v>
      </c>
      <c r="H219" s="26">
        <f>(3600/Table22[[#This Row],[CT]])*(Table22[[#This Row],[CAV]])*24</f>
        <v>38400</v>
      </c>
      <c r="I219" s="26">
        <f t="shared" si="9"/>
        <v>12800</v>
      </c>
      <c r="J219" s="27">
        <v>1267</v>
      </c>
    </row>
    <row r="220" spans="1:10" ht="15" hidden="1">
      <c r="A220" s="24" t="s">
        <v>1333</v>
      </c>
      <c r="B220" s="24" t="s">
        <v>1334</v>
      </c>
      <c r="C220" s="25" t="s">
        <v>899</v>
      </c>
      <c r="D220" s="26">
        <v>165</v>
      </c>
      <c r="E220" s="25">
        <v>26</v>
      </c>
      <c r="F220" s="25">
        <v>9</v>
      </c>
      <c r="G220" s="25">
        <v>4</v>
      </c>
      <c r="H220" s="26">
        <f>(3600/Table22[[#This Row],[CT]])*(Table22[[#This Row],[CAV]])*24</f>
        <v>38400</v>
      </c>
      <c r="I220" s="26">
        <f t="shared" si="9"/>
        <v>12800</v>
      </c>
      <c r="J220" s="27">
        <v>1267</v>
      </c>
    </row>
    <row r="221" spans="1:10" ht="15" hidden="1">
      <c r="A221" s="24" t="s">
        <v>1335</v>
      </c>
      <c r="B221" s="24" t="s">
        <v>1336</v>
      </c>
      <c r="C221" s="25" t="s">
        <v>899</v>
      </c>
      <c r="D221" s="26">
        <v>165</v>
      </c>
      <c r="E221" s="25">
        <v>26</v>
      </c>
      <c r="F221" s="25">
        <v>8</v>
      </c>
      <c r="G221" s="25">
        <v>4</v>
      </c>
      <c r="H221" s="26">
        <f>(3600/Table22[[#This Row],[CT]])*(Table22[[#This Row],[CAV]])*24</f>
        <v>43200</v>
      </c>
      <c r="I221" s="26">
        <f t="shared" si="9"/>
        <v>14400</v>
      </c>
      <c r="J221" s="27">
        <v>1424</v>
      </c>
    </row>
    <row r="222" spans="1:10" ht="15" hidden="1">
      <c r="A222" s="24" t="s">
        <v>1337</v>
      </c>
      <c r="B222" s="24" t="s">
        <v>1338</v>
      </c>
      <c r="C222" s="25" t="s">
        <v>899</v>
      </c>
      <c r="D222" s="26">
        <v>165</v>
      </c>
      <c r="E222" s="25">
        <v>26</v>
      </c>
      <c r="F222" s="25">
        <v>8</v>
      </c>
      <c r="G222" s="25">
        <v>4</v>
      </c>
      <c r="H222" s="26">
        <f>(3600/Table22[[#This Row],[CT]])*(Table22[[#This Row],[CAV]])*24</f>
        <v>43200</v>
      </c>
      <c r="I222" s="26">
        <f t="shared" si="9"/>
        <v>14400</v>
      </c>
      <c r="J222" s="27">
        <v>1560</v>
      </c>
    </row>
    <row r="223" spans="1:10" ht="15" hidden="1">
      <c r="A223" s="24" t="s">
        <v>1339</v>
      </c>
      <c r="B223" s="24" t="s">
        <v>1340</v>
      </c>
      <c r="C223" s="25" t="s">
        <v>899</v>
      </c>
      <c r="D223" s="26">
        <v>165</v>
      </c>
      <c r="E223" s="25">
        <v>26</v>
      </c>
      <c r="F223" s="25">
        <v>8</v>
      </c>
      <c r="G223" s="25">
        <v>4</v>
      </c>
      <c r="H223" s="26">
        <f>(3600/Table22[[#This Row],[CT]])*(Table22[[#This Row],[CAV]])*24</f>
        <v>43200</v>
      </c>
      <c r="I223" s="26">
        <f t="shared" si="9"/>
        <v>14400</v>
      </c>
      <c r="J223" s="27">
        <v>1418</v>
      </c>
    </row>
    <row r="224" spans="1:10" ht="15" hidden="1">
      <c r="A224" s="24" t="s">
        <v>1341</v>
      </c>
      <c r="B224" s="24" t="s">
        <v>1342</v>
      </c>
      <c r="C224" s="25" t="s">
        <v>899</v>
      </c>
      <c r="D224" s="26">
        <v>1075</v>
      </c>
      <c r="E224" s="25">
        <v>13</v>
      </c>
      <c r="F224" s="25">
        <v>8</v>
      </c>
      <c r="G224" s="25">
        <v>4</v>
      </c>
      <c r="H224" s="26">
        <f>(3600/Table22[[#This Row],[CT]])*(Table22[[#This Row],[CAV]])*24</f>
        <v>43200</v>
      </c>
      <c r="I224" s="26">
        <f t="shared" si="9"/>
        <v>14400</v>
      </c>
      <c r="J224" s="27">
        <v>546</v>
      </c>
    </row>
    <row r="225" spans="1:10" ht="15" hidden="1">
      <c r="A225" s="24" t="s">
        <v>1343</v>
      </c>
      <c r="B225" s="24" t="s">
        <v>1344</v>
      </c>
      <c r="C225" s="25" t="s">
        <v>899</v>
      </c>
      <c r="D225" s="26">
        <v>174</v>
      </c>
      <c r="E225" s="25">
        <v>23</v>
      </c>
      <c r="F225" s="25">
        <v>15</v>
      </c>
      <c r="G225" s="25"/>
      <c r="H225" s="26">
        <f>(3600/Table22[[#This Row],[CT]])*(Table22[[#This Row],[CAV]])*24</f>
        <v>0</v>
      </c>
      <c r="I225" s="26">
        <f t="shared" si="9"/>
        <v>0</v>
      </c>
      <c r="J225" s="27">
        <v>975</v>
      </c>
    </row>
    <row r="226" spans="1:10" ht="15" hidden="1">
      <c r="A226" s="24" t="s">
        <v>1345</v>
      </c>
      <c r="B226" s="24" t="s">
        <v>1346</v>
      </c>
      <c r="C226" s="25"/>
      <c r="D226" s="26">
        <v>495</v>
      </c>
      <c r="E226" s="25">
        <v>13</v>
      </c>
      <c r="F226" s="25">
        <v>9</v>
      </c>
      <c r="G226" s="25">
        <v>2</v>
      </c>
      <c r="H226" s="26"/>
      <c r="I226" s="26"/>
      <c r="J226" s="27">
        <v>882</v>
      </c>
    </row>
    <row r="227" spans="1:10">
      <c r="C227"/>
      <c r="D227"/>
      <c r="E227"/>
      <c r="F227"/>
      <c r="G227"/>
      <c r="H227"/>
      <c r="I227"/>
    </row>
    <row r="228" spans="1:10">
      <c r="C228"/>
      <c r="D228"/>
      <c r="E228"/>
      <c r="F228"/>
      <c r="G228"/>
      <c r="H228"/>
      <c r="I228"/>
    </row>
    <row r="229" spans="1:10">
      <c r="C229"/>
      <c r="D229"/>
      <c r="E229"/>
      <c r="F229"/>
      <c r="G229"/>
      <c r="H229"/>
      <c r="I229"/>
    </row>
  </sheetData>
  <conditionalFormatting sqref="A230:B1048576 A1:B220 A221">
    <cfRule type="duplicateValues" dxfId="23" priority="2"/>
  </conditionalFormatting>
  <conditionalFormatting sqref="B221">
    <cfRule type="cellIs" dxfId="22" priority="1" operator="equal">
      <formula>"input kode barang"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 PF</vt:lpstr>
      <vt:lpstr>Database 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2026-04-06T03:23:34Z</dcterms:created>
  <dcterms:modified xsi:type="dcterms:W3CDTF">2026-04-06T03:24:48Z</dcterms:modified>
</cp:coreProperties>
</file>